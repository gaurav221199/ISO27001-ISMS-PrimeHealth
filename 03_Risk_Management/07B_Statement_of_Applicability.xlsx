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aaronjamesflores/Library/CloudStorage/GoogleDrive-fiveaflores@gmail.com/My Drive/Masters Degree/Macquaire University/Security Management/Final Submission/02 - Combined Final Submissions/"/>
    </mc:Choice>
  </mc:AlternateContent>
  <xr:revisionPtr revIDLastSave="0" documentId="8_{7D47563D-3C4A-CA41-A0FF-D76404E00B25}" xr6:coauthVersionLast="47" xr6:coauthVersionMax="47" xr10:uidLastSave="{00000000-0000-0000-0000-000000000000}"/>
  <bookViews>
    <workbookView xWindow="7640" yWindow="2900" windowWidth="27640" windowHeight="16940" activeTab="1" xr2:uid="{B5085CD4-D08A-9440-8B5C-13C0AFBB933F}"/>
  </bookViews>
  <sheets>
    <sheet name="Intro &amp; copyright" sheetId="2" r:id="rId1"/>
    <sheet name="Mandatory ISMS requirements" sheetId="3" r:id="rId2"/>
    <sheet name="Annex A controls" sheetId="4" r:id="rId3"/>
  </sheets>
  <externalReferences>
    <externalReference r:id="rId4"/>
  </externalReferences>
  <definedNames>
    <definedName name="__xlnm._FilterDatabase" localSheetId="2">'Annex A controls'!$A$2:$E$99</definedName>
    <definedName name="__xlnm._FilterDatabase_1">'Annex A controls'!$A$2:$E$99</definedName>
    <definedName name="__xlnm.Print_Titles" localSheetId="2">'Annex A controls'!$A$2:$IQ$2</definedName>
    <definedName name="Applicability">#REF!</definedName>
    <definedName name="CMM">#REF!</definedName>
    <definedName name="ControlTotal">'Annex A controls'!$D$100</definedName>
    <definedName name="Excel_BuiltIn_Print_Area" localSheetId="1">'Mandatory ISMS requirements'!$B$1:$E$60</definedName>
    <definedName name="Excel_BuiltIn_Print_Titles" localSheetId="2">'Annex A controls'!$A$2:$IQ$2</definedName>
    <definedName name="_xlnm.Print_Area" localSheetId="2">'Annex A controls'!$B$1:$E$100</definedName>
    <definedName name="_xlnm.Print_Area" localSheetId="1">'Mandatory ISMS requirements'!$B$1:$E$61</definedName>
    <definedName name="_xlnm.Print_Titles" localSheetId="2">'Annex A controls'!$1:$2</definedName>
    <definedName name="_xlnm.Print_Titles" localSheetId="1">'Mandatory ISMS requirements'!$1:$2</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 i="4" l="1"/>
  <c r="A71" i="3"/>
  <c r="A70" i="3"/>
  <c r="A69" i="3"/>
  <c r="A68" i="3"/>
  <c r="A67" i="3"/>
  <c r="A66" i="3"/>
  <c r="A65" i="3"/>
  <c r="A64" i="3"/>
  <c r="A72" i="3" s="1"/>
  <c r="D6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Gary@isect.com</author>
  </authors>
  <commentList>
    <comment ref="C2" authorId="0" shapeId="0" xr:uid="{82C7FA00-554B-D54A-A7CE-D2D3DB1916DC}">
      <text>
        <r>
          <rPr>
            <b/>
            <sz val="9"/>
            <color indexed="81"/>
            <rFont val="Tahoma"/>
            <family val="2"/>
          </rPr>
          <t xml:space="preserve">Gary@isect.com: </t>
        </r>
        <r>
          <rPr>
            <sz val="9"/>
            <color indexed="81"/>
            <rFont val="Tahoma"/>
            <family val="2"/>
          </rPr>
          <t xml:space="preserve">The wording here paraphrases the standard: refer to the standard for the official wording and additional explanations
</t>
        </r>
      </text>
    </comment>
    <comment ref="D2" authorId="0" shapeId="0" xr:uid="{E395E839-CEF1-5542-A52E-AF6EC72D65E6}">
      <text>
        <r>
          <rPr>
            <b/>
            <sz val="9"/>
            <color indexed="81"/>
            <rFont val="Tahoma"/>
            <family val="2"/>
          </rPr>
          <t xml:space="preserve">Gary@isect.com: </t>
        </r>
        <r>
          <rPr>
            <sz val="9"/>
            <color indexed="81"/>
            <rFont val="Tahoma"/>
            <family val="2"/>
          </rPr>
          <t>Use this column to record your progress towards implementing the ISMS.  See the metrics sheet for explanations of the levels</t>
        </r>
      </text>
    </comment>
    <comment ref="E2" authorId="0" shapeId="0" xr:uid="{9FBC4238-4C37-6140-BD4A-B8D6B89D108E}">
      <text>
        <r>
          <rPr>
            <b/>
            <sz val="9"/>
            <color indexed="81"/>
            <rFont val="Tahoma"/>
            <family val="2"/>
          </rPr>
          <t>Gary@isect.com:</t>
        </r>
        <r>
          <rPr>
            <sz val="9"/>
            <color indexed="81"/>
            <rFont val="Tahoma"/>
            <family val="2"/>
          </rPr>
          <t xml:space="preserve">
Keep notes on the process, including references to any documentation that the auditors will probably want to check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AABA3ABE-3151-9940-A159-5075B9D60BCE}">
      <text>
        <r>
          <rPr>
            <b/>
            <sz val="14"/>
            <color indexed="8"/>
            <rFont val="Tahoma"/>
            <family val="2"/>
          </rPr>
          <t>Select from drop down box</t>
        </r>
      </text>
    </comment>
  </commentList>
</comments>
</file>

<file path=xl/sharedStrings.xml><?xml version="1.0" encoding="utf-8"?>
<sst xmlns="http://schemas.openxmlformats.org/spreadsheetml/2006/main" count="500" uniqueCount="364">
  <si>
    <t>ISO/IEC 27001:2022 ISMS Status, 
Statement of Applicability (SoA) and
Controls Status (gap analysis) workbook</t>
  </si>
  <si>
    <t>Introduction</t>
  </si>
  <si>
    <t xml:space="preserve">This spreadsheet is used to record and track the status of your organization as you implement the mandatory and discretionary elements of ISO/IEC 27001.   </t>
  </si>
  <si>
    <r>
      <t xml:space="preserve">The main body of ISO/IEC 27001 formally specifies a number of mandatory requirements that </t>
    </r>
    <r>
      <rPr>
        <i/>
        <sz val="12"/>
        <rFont val="Aptos Narrow"/>
        <family val="2"/>
        <scheme val="minor"/>
      </rPr>
      <t>must</t>
    </r>
    <r>
      <rPr>
        <sz val="12"/>
        <rFont val="Aptos Narrow"/>
        <family val="2"/>
        <scheme val="minor"/>
      </rPr>
      <t xml:space="preserve"> be fulfilled in order for an </t>
    </r>
    <r>
      <rPr>
        <b/>
        <sz val="12"/>
        <rFont val="Aptos Narrow"/>
        <family val="2"/>
        <scheme val="minor"/>
      </rPr>
      <t>I</t>
    </r>
    <r>
      <rPr>
        <sz val="12"/>
        <rFont val="Aptos Narrow"/>
        <family val="2"/>
        <scheme val="minor"/>
      </rPr>
      <t xml:space="preserve">nformation </t>
    </r>
    <r>
      <rPr>
        <b/>
        <sz val="12"/>
        <rFont val="Aptos Narrow"/>
        <family val="2"/>
        <scheme val="minor"/>
      </rPr>
      <t>S</t>
    </r>
    <r>
      <rPr>
        <sz val="12"/>
        <rFont val="Aptos Narrow"/>
        <family val="2"/>
        <scheme val="minor"/>
      </rPr>
      <t xml:space="preserve">ecurity </t>
    </r>
    <r>
      <rPr>
        <b/>
        <sz val="12"/>
        <rFont val="Aptos Narrow"/>
        <family val="2"/>
        <scheme val="minor"/>
      </rPr>
      <t>M</t>
    </r>
    <r>
      <rPr>
        <sz val="12"/>
        <rFont val="Aptos Narrow"/>
        <family val="2"/>
        <scheme val="minor"/>
      </rPr>
      <t xml:space="preserve">anagement </t>
    </r>
    <r>
      <rPr>
        <b/>
        <sz val="12"/>
        <rFont val="Aptos Narrow"/>
        <family val="2"/>
        <scheme val="minor"/>
      </rPr>
      <t>S</t>
    </r>
    <r>
      <rPr>
        <sz val="12"/>
        <rFont val="Aptos Narrow"/>
        <family val="2"/>
        <scheme val="minor"/>
      </rPr>
      <t xml:space="preserve">ystem to be certified against the standard.   </t>
    </r>
    <r>
      <rPr>
        <b/>
        <sz val="12"/>
        <rFont val="Aptos Narrow"/>
        <family val="2"/>
        <scheme val="minor"/>
      </rPr>
      <t xml:space="preserve">All the mandatory requirements for certification concern the management system rather than the information risks and the security controls being managed.  </t>
    </r>
    <r>
      <rPr>
        <sz val="12"/>
        <rFont val="Aptos Narrow"/>
        <family val="2"/>
        <scheme val="minor"/>
      </rPr>
      <t>For example, the standard requires management to determine the organization's information security risks, assess them, decide how those risks are to be treated, treat them and monitor them, using the policies and procedures defined in the ISMS.  The standard does not mandate specific information security controls: the organization does that.</t>
    </r>
  </si>
  <si>
    <r>
      <t xml:space="preserve">However, Annex A to '27001 outlines a suite of information security controls that the management system would </t>
    </r>
    <r>
      <rPr>
        <i/>
        <sz val="12"/>
        <rFont val="Aptos Narrow"/>
        <family val="2"/>
        <scheme val="minor"/>
      </rPr>
      <t xml:space="preserve">typically </t>
    </r>
    <r>
      <rPr>
        <sz val="12"/>
        <rFont val="Aptos Narrow"/>
        <family val="2"/>
        <scheme val="minor"/>
      </rPr>
      <t xml:space="preserve">manage, provided they are in fact applicable to the organization (which depends on its information security risks).  The security controls in Annex A are explained in much more detail in ISO/IEC 27002:2022, and in various other standards, laws, regulations </t>
    </r>
    <r>
      <rPr>
        <i/>
        <sz val="12"/>
        <rFont val="Aptos Narrow"/>
        <family val="2"/>
        <scheme val="minor"/>
      </rPr>
      <t>etc.</t>
    </r>
  </si>
  <si>
    <t>Instructions</t>
  </si>
  <si>
    <r>
      <t xml:space="preserve">1.  Design and implement an ISMS complying with all the mandatory elements specified in the main body of ISO/IEC 27001, using the drop-down selectors on the status column of the </t>
    </r>
    <r>
      <rPr>
        <b/>
        <sz val="12"/>
        <rFont val="Aptos Narrow"/>
        <family val="2"/>
        <scheme val="minor"/>
      </rPr>
      <t xml:space="preserve">mandatory ISMS requirements sheet </t>
    </r>
    <r>
      <rPr>
        <sz val="12"/>
        <rFont val="Aptos Narrow"/>
        <family val="2"/>
        <scheme val="minor"/>
      </rPr>
      <t>to track and record your status against each of the requirements.</t>
    </r>
  </si>
  <si>
    <r>
      <t xml:space="preserve">2.  Identify and assess the information security risks facing those parts of the organization that are declared in scope for your ISMS, identifying any Annex A controls that are not applicable using the drop-down selectors in the status column of the </t>
    </r>
    <r>
      <rPr>
        <b/>
        <sz val="12"/>
        <rFont val="Aptos Narrow"/>
        <family val="2"/>
        <scheme val="minor"/>
      </rPr>
      <t>annex A controls sheet</t>
    </r>
    <r>
      <rPr>
        <sz val="12"/>
        <rFont val="Aptos Narrow"/>
        <family val="2"/>
        <scheme val="minor"/>
      </rPr>
      <t xml:space="preserve">.  Note: </t>
    </r>
    <r>
      <rPr>
        <b/>
        <sz val="12"/>
        <rFont val="Aptos Narrow"/>
        <family val="2"/>
        <scheme val="minor"/>
      </rPr>
      <t xml:space="preserve">do not feel constrained by Annex A!  </t>
    </r>
    <r>
      <rPr>
        <sz val="12"/>
        <rFont val="Aptos Narrow"/>
        <family val="2"/>
        <scheme val="minor"/>
      </rPr>
      <t>Adapt the sheet, modifying the wording and adding-in additional rows if you determine that other security controls are needed to treat your information security risks and obligations (</t>
    </r>
    <r>
      <rPr>
        <i/>
        <sz val="12"/>
        <rFont val="Aptos Narrow"/>
        <family val="2"/>
        <scheme val="minor"/>
      </rPr>
      <t xml:space="preserve">e.g. </t>
    </r>
    <r>
      <rPr>
        <sz val="12"/>
        <rFont val="Aptos Narrow"/>
        <family val="2"/>
        <scheme val="minor"/>
      </rPr>
      <t xml:space="preserve">ISO 22301, privacy laws, PCI-DSS </t>
    </r>
    <r>
      <rPr>
        <i/>
        <sz val="12"/>
        <rFont val="Aptos Narrow"/>
        <family val="2"/>
        <scheme val="minor"/>
      </rPr>
      <t>etc</t>
    </r>
    <r>
      <rPr>
        <sz val="12"/>
        <rFont val="Aptos Narrow"/>
        <family val="2"/>
        <scheme val="minor"/>
      </rPr>
      <t xml:space="preserve">.).  </t>
    </r>
    <r>
      <rPr>
        <b/>
        <sz val="12"/>
        <rFont val="Aptos Narrow"/>
        <family val="2"/>
        <scheme val="minor"/>
      </rPr>
      <t>Annex A is merely a guide, a starting point.</t>
    </r>
  </si>
  <si>
    <r>
      <t xml:space="preserve">3.  Systematically check and record the status of your security risks and controls, updating the status column of </t>
    </r>
    <r>
      <rPr>
        <b/>
        <sz val="12"/>
        <rFont val="Aptos Narrow"/>
        <family val="2"/>
        <scheme val="minor"/>
      </rPr>
      <t>Annex A sheet</t>
    </r>
    <r>
      <rPr>
        <sz val="12"/>
        <rFont val="Aptos Narrow"/>
        <family val="2"/>
        <scheme val="minor"/>
      </rPr>
      <t xml:space="preserve"> accordingly.</t>
    </r>
  </si>
  <si>
    <r>
      <t xml:space="preserve">4.  Once your ISMS is operating normally, the </t>
    </r>
    <r>
      <rPr>
        <b/>
        <sz val="12"/>
        <rFont val="Aptos Narrow"/>
        <family val="2"/>
        <scheme val="minor"/>
      </rPr>
      <t xml:space="preserve">metrics </t>
    </r>
    <r>
      <rPr>
        <sz val="12"/>
        <rFont val="Aptos Narrow"/>
        <family val="2"/>
        <scheme val="minor"/>
      </rPr>
      <t xml:space="preserve">are looking good and you have amassed sufficient evidence ("records"), it can be formally audited for compliance with '27001 by an accredited certification body.  They will check that your ISMS  fulfills the standard's mandatory requirements, and that your in-scope information security risks are being identified, treated and monitored according to the ISMS policies and procedures.  Thereafter, the spreadsheet should both be maintained </t>
    </r>
    <r>
      <rPr>
        <i/>
        <sz val="12"/>
        <rFont val="Aptos Narrow"/>
        <family val="2"/>
        <scheme val="minor"/>
      </rPr>
      <t xml:space="preserve">i.e. </t>
    </r>
    <r>
      <rPr>
        <sz val="12"/>
        <rFont val="Aptos Narrow"/>
        <family val="2"/>
        <scheme val="minor"/>
      </rPr>
      <t xml:space="preserve">updated when the information security risks or controls change, and periodically reviewed/audited.  </t>
    </r>
  </si>
  <si>
    <t>Document history and acknowledgements</t>
  </si>
  <si>
    <t>Bala Ramanan donated the original ISO/IEC 27001:2005 version of the 27001 requirements worksheet.   Joel Cort added the SoA worksheet.  Gary Hinson hacked it about for publication in the ISO27k Toolkit.</t>
  </si>
  <si>
    <t>Ed Hodgson updated the workbook for ISO/IEC 27001:2013.  Gary Hinson fiddled with the wording and formatting, splitting out the metrics and creating a simpler, generic version for the ISO27k Toolkit.</t>
  </si>
  <si>
    <t>Christian Breitenstrom updated the workbook to reflect ISO/IEC 27001:2022 and ISO/IEC 27002:2022.  Gary tidied it up a bit, ready for publication in the ISO27k Toolkit once ISO/IEC 27001:2022 is published.</t>
  </si>
  <si>
    <t>Copyright</t>
  </si>
  <si>
    <t>This work is copyright © 2022, ISO27k Forum, some rights reserved.  It is licensed under the Creative Commons Attribution-Noncommercial-Share Alike 3.0 License.  You are welcome to reproduce, circulate, use and create derivative works from this provided that (a) it is not sold or incorporated into a commercial product, (b) it is properly attributed to the ISO27k Forum at www.ISO27001security.com, and (c) any derivative works that are shared with third parties are subject the same copyright terms as this.</t>
  </si>
  <si>
    <r>
      <t>Note: you need licensed copies of both ISO/IEC 27001 and 27002 to make much sense of this</t>
    </r>
    <r>
      <rPr>
        <sz val="12"/>
        <rFont val="Aptos Narrow"/>
        <family val="2"/>
        <scheme val="minor"/>
      </rPr>
      <t xml:space="preserve">, and other ISO27k standards are also highly recommended.  </t>
    </r>
    <r>
      <rPr>
        <b/>
        <sz val="12"/>
        <rFont val="Aptos Narrow"/>
        <family val="2"/>
        <scheme val="minor"/>
      </rPr>
      <t xml:space="preserve">This workbook alone is not sufficient!  </t>
    </r>
    <r>
      <rPr>
        <sz val="12"/>
        <rFont val="Aptos Narrow"/>
        <family val="2"/>
        <scheme val="minor"/>
      </rPr>
      <t xml:space="preserve">In particular, we have paraphrased and shortened the wording of the standards in ways that may not entirely fulfill their meaning or intent.  The definitive references are the ISO27k standards, not this workbook. </t>
    </r>
  </si>
  <si>
    <t>Please visit ISO27001security.com for further advice and guidance on the ISO27k standards, including the ISO27k Forum and many other useful documents and templates in the ISO27k Toolkit:</t>
  </si>
  <si>
    <t>www.ISO27001security.com</t>
  </si>
  <si>
    <t>Status of ISO/IEC 27001 implementation</t>
  </si>
  <si>
    <t>Section</t>
  </si>
  <si>
    <t>ISO/IEC 27001 requirement</t>
  </si>
  <si>
    <t>Status</t>
  </si>
  <si>
    <t>Notes</t>
  </si>
  <si>
    <t>Context of the organisation</t>
  </si>
  <si>
    <t>Organisational context</t>
  </si>
  <si>
    <r>
      <t xml:space="preserve">Determine the organization's </t>
    </r>
    <r>
      <rPr>
        <b/>
        <sz val="10"/>
        <rFont val="Aptos Narrow"/>
        <family val="2"/>
        <scheme val="minor"/>
      </rPr>
      <t xml:space="preserve">ISMS objectives </t>
    </r>
    <r>
      <rPr>
        <sz val="10"/>
        <rFont val="Aptos Narrow"/>
        <family val="2"/>
        <scheme val="minor"/>
      </rPr>
      <t>and any issues that might affect its effectiveness</t>
    </r>
  </si>
  <si>
    <t>Managed</t>
  </si>
  <si>
    <t>01. [ISO27K1_4.1_5.3] Company Background &amp; Org Structure</t>
  </si>
  <si>
    <t>Interested parties</t>
  </si>
  <si>
    <t>4.2 (a)</t>
  </si>
  <si>
    <r>
      <t xml:space="preserve">Identify </t>
    </r>
    <r>
      <rPr>
        <b/>
        <sz val="10"/>
        <rFont val="Aptos Narrow"/>
        <family val="2"/>
        <scheme val="minor"/>
      </rPr>
      <t xml:space="preserve">interested parties </t>
    </r>
    <r>
      <rPr>
        <sz val="10"/>
        <rFont val="Aptos Narrow"/>
        <family val="2"/>
        <scheme val="minor"/>
      </rPr>
      <t>including applicable laws, regulations, contracts</t>
    </r>
    <r>
      <rPr>
        <i/>
        <sz val="10"/>
        <rFont val="Aptos Narrow"/>
        <family val="2"/>
        <scheme val="minor"/>
      </rPr>
      <t xml:space="preserve"> etc</t>
    </r>
    <r>
      <rPr>
        <sz val="10"/>
        <rFont val="Aptos Narrow"/>
        <family val="2"/>
        <scheme val="minor"/>
      </rPr>
      <t>.</t>
    </r>
  </si>
  <si>
    <t>Defined</t>
  </si>
  <si>
    <t>02. [ISO27K1_4.2] Standards, Frameworks, &amp; Regulations</t>
  </si>
  <si>
    <t>4.2 (b)</t>
  </si>
  <si>
    <r>
      <t xml:space="preserve">Determine their information security-relevant </t>
    </r>
    <r>
      <rPr>
        <b/>
        <sz val="10"/>
        <rFont val="Aptos Narrow"/>
        <family val="2"/>
        <scheme val="minor"/>
      </rPr>
      <t>requirements</t>
    </r>
    <r>
      <rPr>
        <sz val="10"/>
        <rFont val="Aptos Narrow"/>
        <family val="2"/>
        <scheme val="minor"/>
      </rPr>
      <t xml:space="preserve"> and obligations</t>
    </r>
  </si>
  <si>
    <t>ISMS scope</t>
  </si>
  <si>
    <r>
      <t xml:space="preserve">Determine and document the </t>
    </r>
    <r>
      <rPr>
        <b/>
        <sz val="10"/>
        <rFont val="Aptos Narrow"/>
        <family val="2"/>
        <scheme val="minor"/>
      </rPr>
      <t>ISMS scope</t>
    </r>
  </si>
  <si>
    <t>[ISO27K1_4.3] ISMS Scope Statement</t>
  </si>
  <si>
    <t xml:space="preserve"> ISMS</t>
  </si>
  <si>
    <r>
      <t xml:space="preserve">Establish, implement, maintain and continually improve an </t>
    </r>
    <r>
      <rPr>
        <b/>
        <sz val="10"/>
        <rFont val="Aptos Narrow"/>
        <family val="2"/>
        <scheme val="minor"/>
      </rPr>
      <t xml:space="preserve">ISMS </t>
    </r>
    <r>
      <rPr>
        <sz val="10"/>
        <rFont val="Aptos Narrow"/>
        <family val="2"/>
        <scheme val="minor"/>
      </rPr>
      <t>according to the standard!</t>
    </r>
  </si>
  <si>
    <t>03. [ISO27K1_4.3] ISMS Scope Statement</t>
  </si>
  <si>
    <t>Leadership</t>
  </si>
  <si>
    <t>Leadership &amp; commitment</t>
  </si>
  <si>
    <r>
      <t xml:space="preserve">Top management must demonstrate </t>
    </r>
    <r>
      <rPr>
        <b/>
        <sz val="10"/>
        <rFont val="Aptos Narrow"/>
        <family val="2"/>
        <scheme val="minor"/>
      </rPr>
      <t xml:space="preserve">leadership &amp; commitment </t>
    </r>
    <r>
      <rPr>
        <sz val="10"/>
        <rFont val="Aptos Narrow"/>
        <family val="2"/>
        <scheme val="minor"/>
      </rPr>
      <t>to the ISMS</t>
    </r>
  </si>
  <si>
    <t>05. [ISO27K1_5.2] Information Security Policy</t>
  </si>
  <si>
    <t>Policy</t>
  </si>
  <si>
    <r>
      <t xml:space="preserve">Establish the </t>
    </r>
    <r>
      <rPr>
        <b/>
        <sz val="10"/>
        <rFont val="Aptos Narrow"/>
        <family val="2"/>
        <scheme val="minor"/>
      </rPr>
      <t>information security policy</t>
    </r>
  </si>
  <si>
    <t>Organizational roles, responsibilities &amp; authorities</t>
  </si>
  <si>
    <r>
      <t xml:space="preserve">Assign and communicate information security </t>
    </r>
    <r>
      <rPr>
        <b/>
        <sz val="10"/>
        <rFont val="Aptos Narrow"/>
        <family val="2"/>
        <scheme val="minor"/>
      </rPr>
      <t>rôles &amp; responsibilities</t>
    </r>
  </si>
  <si>
    <t>Planning</t>
  </si>
  <si>
    <t>Actions to address risks &amp; opportunities</t>
  </si>
  <si>
    <t>6.1.1</t>
  </si>
  <si>
    <t>Design/plan the ISMS to satisfy the requirements, addressing risks &amp; opportunities</t>
  </si>
  <si>
    <t>06. [ISO27K1_6.1.2] Information Security Risk Assessment</t>
  </si>
  <si>
    <t>6.1.2</t>
  </si>
  <si>
    <r>
      <t xml:space="preserve">Define and apply an </t>
    </r>
    <r>
      <rPr>
        <b/>
        <sz val="10"/>
        <rFont val="Aptos Narrow"/>
        <family val="2"/>
        <scheme val="minor"/>
      </rPr>
      <t>information security risk assessment process</t>
    </r>
  </si>
  <si>
    <t>6.1.3</t>
  </si>
  <si>
    <r>
      <t xml:space="preserve">Document and apply an </t>
    </r>
    <r>
      <rPr>
        <b/>
        <sz val="10"/>
        <rFont val="Aptos Narrow"/>
        <family val="2"/>
        <scheme val="minor"/>
      </rPr>
      <t xml:space="preserve">information security risk treatment process </t>
    </r>
  </si>
  <si>
    <t>07. [ISO27K1_6.1.3] Information Security Risk Treatment Plan</t>
  </si>
  <si>
    <t>Information security objectives &amp; plans</t>
  </si>
  <si>
    <r>
      <t xml:space="preserve">Establish and document the </t>
    </r>
    <r>
      <rPr>
        <b/>
        <sz val="10"/>
        <rFont val="Aptos Narrow"/>
        <family val="2"/>
        <scheme val="minor"/>
      </rPr>
      <t>information security objectives</t>
    </r>
    <r>
      <rPr>
        <sz val="10"/>
        <rFont val="Aptos Narrow"/>
        <family val="2"/>
        <scheme val="minor"/>
      </rPr>
      <t xml:space="preserve"> </t>
    </r>
    <r>
      <rPr>
        <b/>
        <sz val="10"/>
        <rFont val="Aptos Narrow"/>
        <family val="2"/>
        <scheme val="minor"/>
      </rPr>
      <t xml:space="preserve">and plans </t>
    </r>
  </si>
  <si>
    <t>08. [ISO27K1_6.2] Information Security Objectives &amp; Plans</t>
  </si>
  <si>
    <t>Planning of changes</t>
  </si>
  <si>
    <t>Substantial changes to the ISMS shall be carried out in a planned manner</t>
  </si>
  <si>
    <t>Limited</t>
  </si>
  <si>
    <t>Support</t>
  </si>
  <si>
    <t>Resources</t>
  </si>
  <si>
    <r>
      <t xml:space="preserve">Determine and allocate necessary </t>
    </r>
    <r>
      <rPr>
        <b/>
        <sz val="10"/>
        <rFont val="Aptos Narrow"/>
        <family val="2"/>
        <scheme val="minor"/>
      </rPr>
      <t xml:space="preserve">resources </t>
    </r>
    <r>
      <rPr>
        <sz val="10"/>
        <rFont val="Aptos Narrow"/>
        <family val="2"/>
        <scheme val="minor"/>
      </rPr>
      <t>for the ISMS</t>
    </r>
  </si>
  <si>
    <t>Competence</t>
  </si>
  <si>
    <r>
      <t xml:space="preserve">Determine, document and make available necessary </t>
    </r>
    <r>
      <rPr>
        <b/>
        <sz val="10"/>
        <rFont val="Aptos Narrow"/>
        <family val="2"/>
        <scheme val="minor"/>
      </rPr>
      <t xml:space="preserve">competences </t>
    </r>
  </si>
  <si>
    <t>09. [ISO27K1_7.2] Competence</t>
  </si>
  <si>
    <t>Awareness</t>
  </si>
  <si>
    <r>
      <t>Establish a</t>
    </r>
    <r>
      <rPr>
        <b/>
        <sz val="10"/>
        <rFont val="Aptos Narrow"/>
        <family val="2"/>
        <scheme val="minor"/>
      </rPr>
      <t xml:space="preserve"> security awareness </t>
    </r>
    <r>
      <rPr>
        <sz val="10"/>
        <rFont val="Aptos Narrow"/>
        <family val="2"/>
        <scheme val="minor"/>
      </rPr>
      <t>program</t>
    </r>
  </si>
  <si>
    <t>Communication</t>
  </si>
  <si>
    <r>
      <t xml:space="preserve">Determine the need for </t>
    </r>
    <r>
      <rPr>
        <b/>
        <sz val="10"/>
        <rFont val="Aptos Narrow"/>
        <family val="2"/>
        <scheme val="minor"/>
      </rPr>
      <t xml:space="preserve">internal and external communications </t>
    </r>
    <r>
      <rPr>
        <sz val="10"/>
        <rFont val="Aptos Narrow"/>
        <family val="2"/>
        <scheme val="minor"/>
      </rPr>
      <t>relevant to the ISMS</t>
    </r>
  </si>
  <si>
    <t>Working Papers (Emails, MoMs, Whatsapp)</t>
  </si>
  <si>
    <t>Documented information</t>
  </si>
  <si>
    <t>7.5.1</t>
  </si>
  <si>
    <r>
      <t xml:space="preserve">Provide </t>
    </r>
    <r>
      <rPr>
        <b/>
        <sz val="10"/>
        <rFont val="Aptos Narrow"/>
        <family val="2"/>
        <scheme val="minor"/>
      </rPr>
      <t xml:space="preserve">documentation </t>
    </r>
    <r>
      <rPr>
        <sz val="10"/>
        <rFont val="Aptos Narrow"/>
        <family val="2"/>
        <scheme val="minor"/>
      </rPr>
      <t>required by the standard plus that required by the organization</t>
    </r>
  </si>
  <si>
    <t>00. Main Documentation</t>
  </si>
  <si>
    <t>7.5.2</t>
  </si>
  <si>
    <r>
      <t xml:space="preserve">Provide document </t>
    </r>
    <r>
      <rPr>
        <b/>
        <sz val="10"/>
        <rFont val="Aptos Narrow"/>
        <family val="2"/>
        <scheme val="minor"/>
      </rPr>
      <t>titles</t>
    </r>
    <r>
      <rPr>
        <sz val="10"/>
        <rFont val="Aptos Narrow"/>
        <family val="2"/>
        <scheme val="minor"/>
      </rPr>
      <t xml:space="preserve">, authors </t>
    </r>
    <r>
      <rPr>
        <i/>
        <sz val="10"/>
        <rFont val="Aptos Narrow"/>
        <family val="2"/>
        <scheme val="minor"/>
      </rPr>
      <t>etc</t>
    </r>
    <r>
      <rPr>
        <sz val="10"/>
        <rFont val="Aptos Narrow"/>
        <family val="2"/>
        <scheme val="minor"/>
      </rPr>
      <t xml:space="preserve">., </t>
    </r>
    <r>
      <rPr>
        <b/>
        <sz val="10"/>
        <rFont val="Aptos Narrow"/>
        <family val="2"/>
        <scheme val="minor"/>
      </rPr>
      <t>format</t>
    </r>
    <r>
      <rPr>
        <sz val="10"/>
        <rFont val="Aptos Narrow"/>
        <family val="2"/>
        <scheme val="minor"/>
      </rPr>
      <t xml:space="preserve"> them consistently, and </t>
    </r>
    <r>
      <rPr>
        <b/>
        <sz val="10"/>
        <rFont val="Aptos Narrow"/>
        <family val="2"/>
        <scheme val="minor"/>
      </rPr>
      <t xml:space="preserve">review &amp; approve </t>
    </r>
    <r>
      <rPr>
        <sz val="10"/>
        <rFont val="Aptos Narrow"/>
        <family val="2"/>
        <scheme val="minor"/>
      </rPr>
      <t>them</t>
    </r>
  </si>
  <si>
    <t>7.5.3</t>
  </si>
  <si>
    <r>
      <rPr>
        <b/>
        <sz val="10"/>
        <rFont val="Aptos Narrow"/>
        <family val="2"/>
        <scheme val="minor"/>
      </rPr>
      <t xml:space="preserve">Control the documentation </t>
    </r>
    <r>
      <rPr>
        <sz val="10"/>
        <rFont val="Aptos Narrow"/>
        <family val="2"/>
        <scheme val="minor"/>
      </rPr>
      <t>properly</t>
    </r>
  </si>
  <si>
    <t>Document Version History Template in the Policy Document</t>
  </si>
  <si>
    <t>Operation</t>
  </si>
  <si>
    <t>Operational planning and control</t>
  </si>
  <si>
    <r>
      <t>Plan, implement, control &amp; document ISMS processes to manage risks (</t>
    </r>
    <r>
      <rPr>
        <i/>
        <sz val="10"/>
        <rFont val="Aptos Narrow"/>
        <family val="2"/>
        <scheme val="minor"/>
      </rPr>
      <t xml:space="preserve">i.e. </t>
    </r>
    <r>
      <rPr>
        <sz val="10"/>
        <rFont val="Aptos Narrow"/>
        <family val="2"/>
        <scheme val="minor"/>
      </rPr>
      <t xml:space="preserve">a </t>
    </r>
    <r>
      <rPr>
        <b/>
        <sz val="10"/>
        <rFont val="Aptos Narrow"/>
        <family val="2"/>
        <scheme val="minor"/>
      </rPr>
      <t>risk treatment plan</t>
    </r>
    <r>
      <rPr>
        <sz val="10"/>
        <rFont val="Aptos Narrow"/>
        <family val="2"/>
        <scheme val="minor"/>
      </rPr>
      <t>)</t>
    </r>
  </si>
  <si>
    <t>10. [ISO27K1_8.1] Operational Planning &amp; Control</t>
  </si>
  <si>
    <t>Information security risk assessment</t>
  </si>
  <si>
    <r>
      <rPr>
        <b/>
        <sz val="10"/>
        <rFont val="Aptos Narrow"/>
        <family val="2"/>
        <scheme val="minor"/>
      </rPr>
      <t xml:space="preserve">(Re)assess &amp; document information security risks </t>
    </r>
    <r>
      <rPr>
        <sz val="10"/>
        <rFont val="Aptos Narrow"/>
        <family val="2"/>
        <scheme val="minor"/>
      </rPr>
      <t xml:space="preserve">regularly &amp; on changes </t>
    </r>
  </si>
  <si>
    <t>Information security risk treatment</t>
  </si>
  <si>
    <r>
      <t>Implement the risk treatment plan</t>
    </r>
    <r>
      <rPr>
        <b/>
        <sz val="10"/>
        <rFont val="Aptos Narrow"/>
        <family val="2"/>
        <scheme val="minor"/>
      </rPr>
      <t xml:space="preserve"> (treat the risks!) </t>
    </r>
    <r>
      <rPr>
        <sz val="10"/>
        <rFont val="Aptos Narrow"/>
        <family val="2"/>
        <scheme val="minor"/>
      </rPr>
      <t>and document the results</t>
    </r>
  </si>
  <si>
    <t>12. [ISO27K1_8.3] Risk Treatment Results</t>
  </si>
  <si>
    <t>Performance evaluation</t>
  </si>
  <si>
    <t>Monitoring, measurement, analysis and evaluation</t>
  </si>
  <si>
    <r>
      <rPr>
        <b/>
        <sz val="10"/>
        <rFont val="Aptos Narrow"/>
        <family val="2"/>
        <scheme val="minor"/>
      </rPr>
      <t>Monitor, measure, analyze and evaluate</t>
    </r>
    <r>
      <rPr>
        <sz val="10"/>
        <rFont val="Aptos Narrow"/>
        <family val="2"/>
        <scheme val="minor"/>
      </rPr>
      <t xml:space="preserve"> the ISMS and the controls</t>
    </r>
  </si>
  <si>
    <t>Initial</t>
  </si>
  <si>
    <t>Internal audit</t>
  </si>
  <si>
    <r>
      <t xml:space="preserve">Plan &amp; conduct </t>
    </r>
    <r>
      <rPr>
        <b/>
        <sz val="10"/>
        <rFont val="Aptos Narrow"/>
        <family val="2"/>
        <scheme val="minor"/>
      </rPr>
      <t xml:space="preserve">internal audits </t>
    </r>
    <r>
      <rPr>
        <sz val="10"/>
        <rFont val="Aptos Narrow"/>
        <family val="2"/>
        <scheme val="minor"/>
      </rPr>
      <t>of the ISMS</t>
    </r>
  </si>
  <si>
    <t>14. [ISO27K1_9.2] ISMS Internal Audits</t>
  </si>
  <si>
    <t>Management review</t>
  </si>
  <si>
    <r>
      <t xml:space="preserve">Undertake regular </t>
    </r>
    <r>
      <rPr>
        <b/>
        <sz val="10"/>
        <rFont val="Aptos Narrow"/>
        <family val="2"/>
        <scheme val="minor"/>
      </rPr>
      <t xml:space="preserve">management reviews </t>
    </r>
    <r>
      <rPr>
        <sz val="10"/>
        <rFont val="Aptos Narrow"/>
        <family val="2"/>
        <scheme val="minor"/>
      </rPr>
      <t>of the ISMS</t>
    </r>
  </si>
  <si>
    <t xml:space="preserve">15. [ISO27K1_9.3] ISMS Management Review </t>
  </si>
  <si>
    <t>Improvement</t>
  </si>
  <si>
    <t>Continual improvement</t>
  </si>
  <si>
    <r>
      <t xml:space="preserve">Continually </t>
    </r>
    <r>
      <rPr>
        <b/>
        <sz val="10"/>
        <rFont val="Aptos Narrow"/>
        <family val="2"/>
        <scheme val="minor"/>
      </rPr>
      <t>improve</t>
    </r>
    <r>
      <rPr>
        <sz val="10"/>
        <rFont val="Aptos Narrow"/>
        <family val="2"/>
        <scheme val="minor"/>
      </rPr>
      <t xml:space="preserve"> the ISMS</t>
    </r>
  </si>
  <si>
    <t>18. [ISO27K1_10.2] Continual Improvement</t>
  </si>
  <si>
    <t>Nonconformity and corrective action</t>
  </si>
  <si>
    <t>Identify, fix and take action to prevent recurrence of nonconformities, documenting the actions</t>
  </si>
  <si>
    <t>16. [ISO27K1_10.1] Non-Conformities &amp; Corrective Actions, Register</t>
  </si>
  <si>
    <t>Number of requirements</t>
  </si>
  <si>
    <t>Statement of Applicability and status of information security controls</t>
  </si>
  <si>
    <t>Information security control</t>
  </si>
  <si>
    <t>A5</t>
  </si>
  <si>
    <t>Organizational controls</t>
  </si>
  <si>
    <t>A.5.1</t>
  </si>
  <si>
    <t>Policies for information security</t>
  </si>
  <si>
    <t>Applicable to TRA ID T27, T49</t>
  </si>
  <si>
    <t>A.5.2</t>
  </si>
  <si>
    <t>Information security roles and responsibilities</t>
  </si>
  <si>
    <t xml:space="preserve">Applicable to  </t>
  </si>
  <si>
    <t>A.5.3</t>
  </si>
  <si>
    <t>Segregation of duties</t>
  </si>
  <si>
    <t>Applicable to TRA ID T1, T11</t>
  </si>
  <si>
    <t>A.5.4</t>
  </si>
  <si>
    <t>Management responsibilities</t>
  </si>
  <si>
    <t>Applicable to TRA ID T1, T12, T27, T40</t>
  </si>
  <si>
    <t>A.5.5</t>
  </si>
  <si>
    <t>Contact with authorities</t>
  </si>
  <si>
    <t>Not applicable</t>
  </si>
  <si>
    <t>A.5.6</t>
  </si>
  <si>
    <t>Contact with special interest groups</t>
  </si>
  <si>
    <t>A.5.7</t>
  </si>
  <si>
    <t>Threat intelligence</t>
  </si>
  <si>
    <t>A.5.8</t>
  </si>
  <si>
    <t>Information security in projectmanagement</t>
  </si>
  <si>
    <t>Applicable to TRA ID T17</t>
  </si>
  <si>
    <t>A.5.9</t>
  </si>
  <si>
    <t>Inventory of information and other associated assets</t>
  </si>
  <si>
    <t>Applicable to TRA ID T2, T3, T8, T12, T21, T22, T23, T24</t>
  </si>
  <si>
    <t>A.5.10</t>
  </si>
  <si>
    <t>Acceptable use of information and other associated assets</t>
  </si>
  <si>
    <t>Applicable to TRA ID T2, T3, T8, T12, T21, T22, T23, T25</t>
  </si>
  <si>
    <t>A.5.11</t>
  </si>
  <si>
    <t>Return of assets</t>
  </si>
  <si>
    <t>A.5.12</t>
  </si>
  <si>
    <t>Classification of information</t>
  </si>
  <si>
    <t>Applicable to All TRA IDs</t>
  </si>
  <si>
    <t>A.5.13</t>
  </si>
  <si>
    <t>Labelling of information</t>
  </si>
  <si>
    <t>A.5.14</t>
  </si>
  <si>
    <t>Information transfer</t>
  </si>
  <si>
    <t>Applicable to TRA ID T55, T53, T26, T9</t>
  </si>
  <si>
    <t>A.5.15</t>
  </si>
  <si>
    <t>Access control</t>
  </si>
  <si>
    <t>Applicable to TRA ID T5, T9, T12, T15, T17, T23, T24, T25, T30, T31, T32, T37, T40, T41, T43, T46, T49</t>
  </si>
  <si>
    <t>A.5.16</t>
  </si>
  <si>
    <t>Identity management</t>
  </si>
  <si>
    <t>Applicable to TRA ID T9, T25, T29, T30, T31, T32, T34, T40, T49</t>
  </si>
  <si>
    <t>A.5.17</t>
  </si>
  <si>
    <t>Authentication information</t>
  </si>
  <si>
    <t>Applicable to TRA ID T9, T23, T24, T25, T31, T32, T33, T40, T41, T49, T53</t>
  </si>
  <si>
    <t>A.5.18</t>
  </si>
  <si>
    <t>Access rights</t>
  </si>
  <si>
    <t>Applicable to TRA ID T9, T12, T16, T17, T25, T29, T31, T32, T33, T40, T43, T49, T52, T53</t>
  </si>
  <si>
    <t>A.5.19</t>
  </si>
  <si>
    <t>Information security in supplier relationships</t>
  </si>
  <si>
    <t>Applicable to TRA ID T1, T16</t>
  </si>
  <si>
    <t>A.5.20</t>
  </si>
  <si>
    <t>Addressing information security within supplier agreements</t>
  </si>
  <si>
    <t>Applicable to TRA ID T34</t>
  </si>
  <si>
    <t>A.5.21</t>
  </si>
  <si>
    <t>Managing information security in the information 
and communication technology (ICT) supply-chain</t>
  </si>
  <si>
    <t>Applicable to TRA ID T10, T31</t>
  </si>
  <si>
    <t>A.5.22</t>
  </si>
  <si>
    <t>Monitoring, review and change management of supplier services</t>
  </si>
  <si>
    <t>Applicable to TRA ID T1</t>
  </si>
  <si>
    <t>A.5.23</t>
  </si>
  <si>
    <t>Information security for use of cloud services</t>
  </si>
  <si>
    <t>Applicable to TRA ID T8, T45, T47</t>
  </si>
  <si>
    <t>A.5.24</t>
  </si>
  <si>
    <t>Information security incident management planning and preparation</t>
  </si>
  <si>
    <t>Applicable to TRA ID T10, T11, T13, T18, T36</t>
  </si>
  <si>
    <t>A.5.25</t>
  </si>
  <si>
    <t>Assessment and decision on information security events</t>
  </si>
  <si>
    <t>Applicable to TRA ID T8, T11, T45</t>
  </si>
  <si>
    <t>A.5.26</t>
  </si>
  <si>
    <t>Response to information security incidents</t>
  </si>
  <si>
    <t>Applicable to TRA ID T10, T11, T13, T18, T30, T36, T55</t>
  </si>
  <si>
    <t>A.5.27</t>
  </si>
  <si>
    <t>Learning from information security incidents</t>
  </si>
  <si>
    <t>Applicable to TRA ID T55</t>
  </si>
  <si>
    <t>A.5.28</t>
  </si>
  <si>
    <t>Collection of evidence</t>
  </si>
  <si>
    <t>Nonexistent</t>
  </si>
  <si>
    <t>A.5.29</t>
  </si>
  <si>
    <t>Information security during disruption</t>
  </si>
  <si>
    <t>Applicable to TRA ID T2, T3, T47</t>
  </si>
  <si>
    <t>A.5.30</t>
  </si>
  <si>
    <t>ICT readiness for business continuity</t>
  </si>
  <si>
    <t>Applicable to TRA ID T1, T2, T3, T4, T17, T24, T44, T47, T51</t>
  </si>
  <si>
    <t>A.5.31</t>
  </si>
  <si>
    <t>Legal, statutory, regulatory and contractual requirements</t>
  </si>
  <si>
    <t>Applicable to TRA ID T31, T49</t>
  </si>
  <si>
    <t>A.5.32</t>
  </si>
  <si>
    <t>Intellectual property rights</t>
  </si>
  <si>
    <t>A.5.33</t>
  </si>
  <si>
    <t>Protection of records</t>
  </si>
  <si>
    <t>A.5.34</t>
  </si>
  <si>
    <t>Privacy and protection of personal identifiable information (PII)</t>
  </si>
  <si>
    <t>Applicable to TRA ID T12, T13</t>
  </si>
  <si>
    <t>A.5.35</t>
  </si>
  <si>
    <t>Independent review of information security</t>
  </si>
  <si>
    <t>A.5.36</t>
  </si>
  <si>
    <t>Compliance with policies, rules and standards for information security</t>
  </si>
  <si>
    <t>Applicable to TRA ID T27</t>
  </si>
  <si>
    <t>A.5.37</t>
  </si>
  <si>
    <t>Documented operating procedures</t>
  </si>
  <si>
    <t>A6</t>
  </si>
  <si>
    <t>People controls</t>
  </si>
  <si>
    <t>A.6.1</t>
  </si>
  <si>
    <t>Screening</t>
  </si>
  <si>
    <t>Applicable to TRA ID T12</t>
  </si>
  <si>
    <t>A.6.2</t>
  </si>
  <si>
    <t>Terms and conditions of employment</t>
  </si>
  <si>
    <t>A.6.3</t>
  </si>
  <si>
    <t>Information security awareness, education and training</t>
  </si>
  <si>
    <t>Applicable to TRA ID T1, T11, T12, T21, T27, T36, T37, T55</t>
  </si>
  <si>
    <t>A.6.4</t>
  </si>
  <si>
    <t>Disciplinary process</t>
  </si>
  <si>
    <t>Applicable to TRA ID T12, T27</t>
  </si>
  <si>
    <t>A.6.5</t>
  </si>
  <si>
    <t>Responsibilities after termination or change of employment</t>
  </si>
  <si>
    <t>A.6.6</t>
  </si>
  <si>
    <t>Confidentiality or non-disclosure agreements</t>
  </si>
  <si>
    <t>A.6.7</t>
  </si>
  <si>
    <t>Remote working</t>
  </si>
  <si>
    <t>A.6.8</t>
  </si>
  <si>
    <t>Information security event reporting</t>
  </si>
  <si>
    <t>A7</t>
  </si>
  <si>
    <t>Physical controls</t>
  </si>
  <si>
    <t>A.7.1</t>
  </si>
  <si>
    <t>Physical security perimeters</t>
  </si>
  <si>
    <t>The physcial security is currently not within PrimeHealth's ISMS objectives</t>
  </si>
  <si>
    <t>A.7.2</t>
  </si>
  <si>
    <t>Physical entry</t>
  </si>
  <si>
    <t>A.7.3</t>
  </si>
  <si>
    <t>Securing offices, rooms and facilities</t>
  </si>
  <si>
    <t>A.7.4</t>
  </si>
  <si>
    <t>Physical security monitoring</t>
  </si>
  <si>
    <t>A.7.5</t>
  </si>
  <si>
    <t>Protecting against physical and environmental threats</t>
  </si>
  <si>
    <t>A.7.6</t>
  </si>
  <si>
    <t>Working in secure areas</t>
  </si>
  <si>
    <t>A.7.7</t>
  </si>
  <si>
    <t>Clear desk and clear screen</t>
  </si>
  <si>
    <t>A.7.8</t>
  </si>
  <si>
    <t>Equipment siting and protection</t>
  </si>
  <si>
    <t>A.7.9</t>
  </si>
  <si>
    <t>Security of assets off-premises</t>
  </si>
  <si>
    <t>A.7.10</t>
  </si>
  <si>
    <t>Storage media</t>
  </si>
  <si>
    <t>A.7.11</t>
  </si>
  <si>
    <t>Supporting utilities</t>
  </si>
  <si>
    <t>A.7.12</t>
  </si>
  <si>
    <t>Cabling security</t>
  </si>
  <si>
    <t>A.7.13</t>
  </si>
  <si>
    <t>Equipment maintenance</t>
  </si>
  <si>
    <t>A.7.14</t>
  </si>
  <si>
    <t>Secure disposal or re-use of equipment</t>
  </si>
  <si>
    <t>A8</t>
  </si>
  <si>
    <t>Technological controls</t>
  </si>
  <si>
    <t>A.8.1</t>
  </si>
  <si>
    <t>User end point devices</t>
  </si>
  <si>
    <t>Applicable to TRA ID T15, T54</t>
  </si>
  <si>
    <t>A.8.2</t>
  </si>
  <si>
    <t>Privileged access rights</t>
  </si>
  <si>
    <t>Applicable to TRA ID T12, T17</t>
  </si>
  <si>
    <t>A.8.3</t>
  </si>
  <si>
    <t>Information access restriction</t>
  </si>
  <si>
    <t>Applicable to TRA ID T5, T17, T31, T32, T40, T49</t>
  </si>
  <si>
    <t>A.8.4</t>
  </si>
  <si>
    <t>Access to source code</t>
  </si>
  <si>
    <t xml:space="preserve">Applicable to TRA ID </t>
  </si>
  <si>
    <t>A.8.5</t>
  </si>
  <si>
    <t>Secure authentication</t>
  </si>
  <si>
    <t>Applicable to TRA ID T9, T10, T13, T18, T20, T25, T36, T37</t>
  </si>
  <si>
    <t>A.8.6</t>
  </si>
  <si>
    <t>Capacity management</t>
  </si>
  <si>
    <t>A.8.7</t>
  </si>
  <si>
    <t>Protection against malware</t>
  </si>
  <si>
    <t>Applicable to TRA ID T6, T10, T13, T16, T26, T33, T38, T52, T53, T54</t>
  </si>
  <si>
    <t>A.8.8</t>
  </si>
  <si>
    <t>Management of technical vulnerabilities</t>
  </si>
  <si>
    <t>Applicable to TRA ID T4, T26, T29</t>
  </si>
  <si>
    <t>A.8.9</t>
  </si>
  <si>
    <t>Configuration management</t>
  </si>
  <si>
    <t>Applicable to TRA ID T51</t>
  </si>
  <si>
    <t>A.8.10</t>
  </si>
  <si>
    <t>Information deletion</t>
  </si>
  <si>
    <t>A.8.11</t>
  </si>
  <si>
    <t>Data masking</t>
  </si>
  <si>
    <t>Applicable to TRA ID T13, T18</t>
  </si>
  <si>
    <t>A.8.12</t>
  </si>
  <si>
    <t>Data leakage prevention</t>
  </si>
  <si>
    <t>Applicable to TRA ID T18, T36, T39, T46</t>
  </si>
  <si>
    <t>A.8.13</t>
  </si>
  <si>
    <t>Information backup</t>
  </si>
  <si>
    <t>Applicable to TRA ID T2, T2, T3, T3, T18, T19, T24, T35, T39, T44, T47, T50, T51</t>
  </si>
  <si>
    <t>A.8.14</t>
  </si>
  <si>
    <t>Redundancy of information processing facilities</t>
  </si>
  <si>
    <t>Applicable to TRA ID T2, T3, T4, T35, T47, T51</t>
  </si>
  <si>
    <t>A.8.15</t>
  </si>
  <si>
    <t>Logging</t>
  </si>
  <si>
    <t>Applicable to TRA ID T19, T35, T39, T49, T50</t>
  </si>
  <si>
    <t>A.8.16</t>
  </si>
  <si>
    <t>Monitoring activities</t>
  </si>
  <si>
    <t>Applicable to TRA ID T10, T13, T15, T18, T19, T22, T35, T36, T39, T44, T47, T48, T50, T51, T54</t>
  </si>
  <si>
    <t>A.8.17</t>
  </si>
  <si>
    <t>Clock synchronization</t>
  </si>
  <si>
    <t>A.8.18</t>
  </si>
  <si>
    <t>Use of privileged utility programs</t>
  </si>
  <si>
    <t>A.8.19</t>
  </si>
  <si>
    <t>Installation of software on operational systems</t>
  </si>
  <si>
    <t>A.8.20</t>
  </si>
  <si>
    <t>Networks security</t>
  </si>
  <si>
    <t>Applicable to TRA ID T10, T13, T22, T48, T51</t>
  </si>
  <si>
    <t>A.8.21</t>
  </si>
  <si>
    <t>Security of network services</t>
  </si>
  <si>
    <t>A.8.22</t>
  </si>
  <si>
    <t>Segregation of networks</t>
  </si>
  <si>
    <t>A.8.23</t>
  </si>
  <si>
    <t>Web filtering</t>
  </si>
  <si>
    <t>Applicable to TRA ID T7</t>
  </si>
  <si>
    <t>A.8.24</t>
  </si>
  <si>
    <t>Use of cryptography</t>
  </si>
  <si>
    <t>Applicable to TRA ID T7, T9, T10, T13, T18, T20, T22, T25, T37, T38, T4</t>
  </si>
  <si>
    <t>A.8.25</t>
  </si>
  <si>
    <t>Secure development life cycle</t>
  </si>
  <si>
    <t>Applicable to TRA ID T6</t>
  </si>
  <si>
    <t>A.8.26</t>
  </si>
  <si>
    <t>Application security requirements</t>
  </si>
  <si>
    <t>Applicable to TRA ID: T10, T13, T18</t>
  </si>
  <si>
    <t>A.8.27</t>
  </si>
  <si>
    <t>Secure system architecture and engineering principles</t>
  </si>
  <si>
    <t>A.8.28</t>
  </si>
  <si>
    <t>Secure coding</t>
  </si>
  <si>
    <t>A.8.29</t>
  </si>
  <si>
    <t>Security testing in development and acceptance</t>
  </si>
  <si>
    <t>A.8.30</t>
  </si>
  <si>
    <t>Outsourced development</t>
  </si>
  <si>
    <t>Applicable to TRA ID: T5, T17, T31, T32, T40, T49</t>
  </si>
  <si>
    <t>A.8.31</t>
  </si>
  <si>
    <t>Separation of development, test and production environments</t>
  </si>
  <si>
    <t>A.8.32</t>
  </si>
  <si>
    <t>Change management</t>
  </si>
  <si>
    <t>Applicable to TRA ID T49</t>
  </si>
  <si>
    <t>A.8.33</t>
  </si>
  <si>
    <t>Test information</t>
  </si>
  <si>
    <t>A.8.34</t>
  </si>
  <si>
    <t>Protection of information systems during audit testing</t>
  </si>
  <si>
    <t>Number of controls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</si>
</sst>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Aptos Narrow"/>
      <family val="2"/>
      <scheme val="minor"/>
    </font>
    <font>
      <b/>
      <sz val="12"/>
      <color theme="0"/>
      <name val="Aptos Narrow"/>
      <family val="2"/>
      <scheme val="minor"/>
    </font>
    <font>
      <sz val="10"/>
      <name val="Arial"/>
      <family val="2"/>
    </font>
    <font>
      <b/>
      <sz val="24"/>
      <name val="Aptos Narrow"/>
      <family val="2"/>
      <scheme val="minor"/>
    </font>
    <font>
      <sz val="10"/>
      <name val="Aptos Narrow"/>
      <family val="2"/>
      <scheme val="minor"/>
    </font>
    <font>
      <b/>
      <sz val="14"/>
      <name val="Aptos Narrow"/>
      <family val="2"/>
      <scheme val="minor"/>
    </font>
    <font>
      <sz val="12"/>
      <name val="Aptos Narrow"/>
      <family val="2"/>
      <scheme val="minor"/>
    </font>
    <font>
      <i/>
      <sz val="12"/>
      <name val="Aptos Narrow"/>
      <family val="2"/>
      <scheme val="minor"/>
    </font>
    <font>
      <b/>
      <sz val="12"/>
      <name val="Aptos Narrow"/>
      <family val="2"/>
      <scheme val="minor"/>
    </font>
    <font>
      <u/>
      <sz val="10"/>
      <color indexed="12"/>
      <name val="Arial"/>
      <family val="2"/>
    </font>
    <font>
      <u/>
      <sz val="14"/>
      <color indexed="12"/>
      <name val="Aptos Narrow"/>
      <family val="2"/>
      <scheme val="minor"/>
    </font>
    <font>
      <sz val="20"/>
      <name val="Aptos Narrow"/>
      <family val="2"/>
      <scheme val="minor"/>
    </font>
    <font>
      <b/>
      <sz val="14"/>
      <color theme="0"/>
      <name val="Aptos Narrow"/>
      <family val="2"/>
      <scheme val="minor"/>
    </font>
    <font>
      <b/>
      <sz val="16"/>
      <color theme="0"/>
      <name val="Aptos Narrow"/>
      <family val="2"/>
      <scheme val="minor"/>
    </font>
    <font>
      <b/>
      <sz val="18"/>
      <color indexed="8"/>
      <name val="Aptos Narrow"/>
      <family val="2"/>
      <scheme val="minor"/>
    </font>
    <font>
      <b/>
      <sz val="18"/>
      <name val="Aptos Narrow"/>
      <family val="2"/>
      <scheme val="minor"/>
    </font>
    <font>
      <b/>
      <sz val="12"/>
      <color indexed="8"/>
      <name val="Aptos Narrow"/>
      <family val="2"/>
      <scheme val="minor"/>
    </font>
    <font>
      <b/>
      <sz val="10"/>
      <name val="Aptos Narrow"/>
      <family val="2"/>
      <scheme val="minor"/>
    </font>
    <font>
      <i/>
      <sz val="10"/>
      <name val="Aptos Narrow"/>
      <family val="2"/>
      <scheme val="minor"/>
    </font>
    <font>
      <sz val="18"/>
      <name val="Aptos Narrow"/>
      <family val="2"/>
      <scheme val="minor"/>
    </font>
    <font>
      <b/>
      <sz val="12"/>
      <color indexed="9"/>
      <name val="Arial"/>
      <family val="2"/>
    </font>
    <font>
      <b/>
      <sz val="12"/>
      <color theme="0" tint="-0.14999847407452621"/>
      <name val="Aptos Narrow"/>
      <family val="2"/>
      <scheme val="minor"/>
    </font>
    <font>
      <sz val="10"/>
      <color theme="0" tint="-0.14999847407452621"/>
      <name val="Aptos Narrow"/>
      <family val="2"/>
      <scheme val="minor"/>
    </font>
    <font>
      <b/>
      <sz val="12"/>
      <color indexed="9"/>
      <name val="Aptos Narrow"/>
      <family val="2"/>
      <scheme val="minor"/>
    </font>
    <font>
      <b/>
      <sz val="9"/>
      <color indexed="81"/>
      <name val="Tahoma"/>
      <family val="2"/>
    </font>
    <font>
      <sz val="9"/>
      <color indexed="81"/>
      <name val="Tahoma"/>
      <family val="2"/>
    </font>
    <font>
      <sz val="11"/>
      <color rgb="FF000000"/>
      <name val="Aptos Narrow"/>
    </font>
    <font>
      <sz val="12"/>
      <color indexed="8"/>
      <name val="Aptos Narrow"/>
      <family val="2"/>
      <scheme val="minor"/>
    </font>
    <font>
      <sz val="12"/>
      <color theme="0" tint="-0.14999847407452621"/>
      <name val="Aptos Narrow"/>
      <family val="2"/>
      <scheme val="minor"/>
    </font>
    <font>
      <b/>
      <sz val="8"/>
      <name val="Aptos Narrow"/>
      <family val="2"/>
      <scheme val="minor"/>
    </font>
    <font>
      <b/>
      <sz val="14"/>
      <color indexed="8"/>
      <name val="Tahoma"/>
      <family val="2"/>
    </font>
  </fonts>
  <fills count="6">
    <fill>
      <patternFill patternType="none"/>
    </fill>
    <fill>
      <patternFill patternType="gray125"/>
    </fill>
    <fill>
      <patternFill patternType="solid">
        <fgColor rgb="FF002060"/>
        <bgColor indexed="42"/>
      </patternFill>
    </fill>
    <fill>
      <patternFill patternType="solid">
        <fgColor indexed="27"/>
        <bgColor indexed="42"/>
      </patternFill>
    </fill>
    <fill>
      <patternFill patternType="solid">
        <fgColor theme="4" tint="0.79998168889431442"/>
        <bgColor indexed="64"/>
      </patternFill>
    </fill>
    <fill>
      <patternFill patternType="solid">
        <fgColor indexed="52"/>
        <bgColor indexed="19"/>
      </patternFill>
    </fill>
  </fills>
  <borders count="21">
    <border>
      <left/>
      <right/>
      <top/>
      <bottom/>
      <diagonal/>
    </border>
    <border>
      <left style="hair">
        <color indexed="8"/>
      </left>
      <right style="hair">
        <color indexed="8"/>
      </right>
      <top style="hair">
        <color indexed="8"/>
      </top>
      <bottom/>
      <diagonal/>
    </border>
    <border>
      <left style="medium">
        <color indexed="64"/>
      </left>
      <right style="hair">
        <color indexed="8"/>
      </right>
      <top style="medium">
        <color indexed="64"/>
      </top>
      <bottom style="hair">
        <color indexed="8"/>
      </bottom>
      <diagonal/>
    </border>
    <border>
      <left style="hair">
        <color indexed="8"/>
      </left>
      <right style="hair">
        <color indexed="8"/>
      </right>
      <top style="medium">
        <color indexed="64"/>
      </top>
      <bottom style="hair">
        <color indexed="8"/>
      </bottom>
      <diagonal/>
    </border>
    <border>
      <left style="hair">
        <color indexed="8"/>
      </left>
      <right style="medium">
        <color indexed="64"/>
      </right>
      <top style="medium">
        <color indexed="64"/>
      </top>
      <bottom style="hair">
        <color indexed="8"/>
      </bottom>
      <diagonal/>
    </border>
    <border>
      <left style="medium">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64"/>
      </right>
      <top style="hair">
        <color indexed="8"/>
      </top>
      <bottom style="hair">
        <color indexed="8"/>
      </bottom>
      <diagonal/>
    </border>
    <border>
      <left style="medium">
        <color indexed="64"/>
      </left>
      <right style="hair">
        <color indexed="8"/>
      </right>
      <top style="hair">
        <color indexed="8"/>
      </top>
      <bottom style="medium">
        <color indexed="64"/>
      </bottom>
      <diagonal/>
    </border>
    <border>
      <left style="hair">
        <color indexed="8"/>
      </left>
      <right/>
      <top style="hair">
        <color indexed="8"/>
      </top>
      <bottom style="medium">
        <color indexed="64"/>
      </bottom>
      <diagonal/>
    </border>
    <border>
      <left style="thin">
        <color rgb="FF000000"/>
      </left>
      <right style="thin">
        <color rgb="FF000000"/>
      </right>
      <top style="thin">
        <color rgb="FF000000"/>
      </top>
      <bottom style="thin">
        <color rgb="FF000000"/>
      </bottom>
      <diagonal/>
    </border>
    <border>
      <left/>
      <right style="medium">
        <color indexed="64"/>
      </right>
      <top style="hair">
        <color indexed="8"/>
      </top>
      <bottom style="medium">
        <color indexed="64"/>
      </bottom>
      <diagonal/>
    </border>
    <border>
      <left style="hair">
        <color indexed="8"/>
      </left>
      <right/>
      <top style="hair">
        <color indexed="8"/>
      </top>
      <bottom style="hair">
        <color indexed="8"/>
      </bottom>
      <diagonal/>
    </border>
    <border>
      <left style="hair">
        <color indexed="8"/>
      </left>
      <right/>
      <top/>
      <bottom/>
      <diagonal/>
    </border>
    <border>
      <left style="hair">
        <color indexed="8"/>
      </left>
      <right/>
      <top/>
      <bottom style="hair">
        <color indexed="8"/>
      </bottom>
      <diagonal/>
    </border>
    <border>
      <left/>
      <right/>
      <top/>
      <bottom style="hair">
        <color indexed="8"/>
      </bottom>
      <diagonal/>
    </border>
    <border>
      <left/>
      <right/>
      <top style="hair">
        <color indexed="8"/>
      </top>
      <bottom style="medium">
        <color indexed="64"/>
      </bottom>
      <diagonal/>
    </border>
    <border>
      <left/>
      <right style="hair">
        <color indexed="8"/>
      </right>
      <top style="hair">
        <color indexed="8"/>
      </top>
      <bottom style="medium">
        <color indexed="64"/>
      </bottom>
      <diagonal/>
    </border>
    <border>
      <left style="medium">
        <color indexed="64"/>
      </left>
      <right style="hair">
        <color indexed="8"/>
      </right>
      <top style="medium">
        <color indexed="64"/>
      </top>
      <bottom/>
      <diagonal/>
    </border>
    <border>
      <left style="hair">
        <color indexed="8"/>
      </left>
      <right style="hair">
        <color indexed="8"/>
      </right>
      <top style="medium">
        <color indexed="64"/>
      </top>
      <bottom/>
      <diagonal/>
    </border>
    <border>
      <left style="hair">
        <color indexed="8"/>
      </left>
      <right style="medium">
        <color indexed="64"/>
      </right>
      <top style="medium">
        <color indexed="64"/>
      </top>
      <bottom/>
      <diagonal/>
    </border>
  </borders>
  <cellStyleXfs count="5">
    <xf numFmtId="0" fontId="0" fillId="0" borderId="0"/>
    <xf numFmtId="0" fontId="2" fillId="0" borderId="0"/>
    <xf numFmtId="0" fontId="9" fillId="0" borderId="0"/>
    <xf numFmtId="0" fontId="2" fillId="0" borderId="0"/>
    <xf numFmtId="0" fontId="20" fillId="5" borderId="0" applyNumberFormat="0" applyBorder="0" applyProtection="0">
      <alignment horizontal="center" vertical="center"/>
    </xf>
  </cellStyleXfs>
  <cellXfs count="81">
    <xf numFmtId="0" fontId="0" fillId="0" borderId="0" xfId="0"/>
    <xf numFmtId="0" fontId="3" fillId="0" borderId="0" xfId="1" applyFont="1" applyAlignment="1">
      <alignment horizontal="center" vertical="center" wrapText="1"/>
    </xf>
    <xf numFmtId="0" fontId="4" fillId="0" borderId="0" xfId="1" applyFont="1" applyAlignment="1">
      <alignment horizontal="center" wrapText="1"/>
    </xf>
    <xf numFmtId="0" fontId="5" fillId="0" borderId="0" xfId="1" applyFont="1" applyAlignment="1">
      <alignment wrapText="1"/>
    </xf>
    <xf numFmtId="0" fontId="4" fillId="0" borderId="0" xfId="1" applyFont="1" applyAlignment="1">
      <alignment wrapText="1"/>
    </xf>
    <xf numFmtId="0" fontId="6" fillId="0" borderId="0" xfId="1" applyFont="1" applyAlignment="1">
      <alignment wrapText="1"/>
    </xf>
    <xf numFmtId="0" fontId="8" fillId="0" borderId="0" xfId="1" applyFont="1" applyAlignment="1">
      <alignment wrapText="1"/>
    </xf>
    <xf numFmtId="0" fontId="10" fillId="0" borderId="0" xfId="2" applyFont="1" applyAlignment="1">
      <alignment horizontal="center" wrapText="1"/>
    </xf>
    <xf numFmtId="0" fontId="3" fillId="0" borderId="1" xfId="1" applyFont="1" applyBorder="1" applyAlignment="1" applyProtection="1">
      <alignment horizontal="center" vertical="center" wrapText="1"/>
      <protection locked="0"/>
    </xf>
    <xf numFmtId="0" fontId="11" fillId="0" borderId="0" xfId="1" applyFont="1" applyAlignment="1" applyProtection="1">
      <alignment vertical="center" wrapText="1"/>
      <protection locked="0"/>
    </xf>
    <xf numFmtId="0" fontId="12" fillId="2" borderId="2" xfId="1" applyFont="1" applyFill="1" applyBorder="1" applyAlignment="1" applyProtection="1">
      <alignment horizontal="center" wrapText="1"/>
      <protection locked="0"/>
    </xf>
    <xf numFmtId="0" fontId="13" fillId="2" borderId="3" xfId="1" applyFont="1" applyFill="1" applyBorder="1" applyAlignment="1" applyProtection="1">
      <alignment horizontal="center" wrapText="1"/>
      <protection locked="0"/>
    </xf>
    <xf numFmtId="0" fontId="13" fillId="2" borderId="4" xfId="1" applyFont="1" applyFill="1" applyBorder="1" applyAlignment="1" applyProtection="1">
      <alignment horizontal="center" wrapText="1"/>
      <protection locked="0"/>
    </xf>
    <xf numFmtId="0" fontId="6" fillId="0" borderId="0" xfId="1" applyFont="1" applyAlignment="1" applyProtection="1">
      <alignment horizontal="center" wrapText="1"/>
      <protection locked="0"/>
    </xf>
    <xf numFmtId="0" fontId="14" fillId="3" borderId="5" xfId="1" applyFont="1" applyFill="1" applyBorder="1" applyAlignment="1" applyProtection="1">
      <alignment horizontal="center" wrapText="1"/>
      <protection locked="0"/>
    </xf>
    <xf numFmtId="0" fontId="14" fillId="3" borderId="6" xfId="1" applyFont="1" applyFill="1" applyBorder="1" applyAlignment="1" applyProtection="1">
      <alignment wrapText="1"/>
      <protection locked="0"/>
    </xf>
    <xf numFmtId="0" fontId="14" fillId="3" borderId="7" xfId="1" applyFont="1" applyFill="1" applyBorder="1" applyAlignment="1" applyProtection="1">
      <alignment wrapText="1"/>
      <protection locked="0"/>
    </xf>
    <xf numFmtId="0" fontId="15" fillId="0" borderId="0" xfId="1" applyFont="1" applyAlignment="1" applyProtection="1">
      <alignment wrapText="1"/>
      <protection locked="0"/>
    </xf>
    <xf numFmtId="0" fontId="16" fillId="4" borderId="5" xfId="1" applyFont="1" applyFill="1" applyBorder="1" applyAlignment="1" applyProtection="1">
      <alignment horizontal="center" wrapText="1"/>
      <protection locked="0"/>
    </xf>
    <xf numFmtId="0" fontId="16" fillId="4" borderId="6" xfId="1" applyFont="1" applyFill="1" applyBorder="1" applyAlignment="1" applyProtection="1">
      <alignment horizontal="center" wrapText="1"/>
      <protection locked="0"/>
    </xf>
    <xf numFmtId="0" fontId="16" fillId="4" borderId="6" xfId="1" applyFont="1" applyFill="1" applyBorder="1" applyAlignment="1" applyProtection="1">
      <alignment horizontal="left" wrapText="1"/>
      <protection locked="0"/>
    </xf>
    <xf numFmtId="0" fontId="16" fillId="4" borderId="7" xfId="1" applyFont="1" applyFill="1" applyBorder="1" applyAlignment="1" applyProtection="1">
      <alignment horizontal="left" wrapText="1"/>
      <protection locked="0"/>
    </xf>
    <xf numFmtId="0" fontId="6" fillId="0" borderId="0" xfId="3" applyFont="1" applyAlignment="1" applyProtection="1">
      <alignment wrapText="1"/>
      <protection locked="0"/>
    </xf>
    <xf numFmtId="0" fontId="6" fillId="0" borderId="0" xfId="1" applyFont="1" applyAlignment="1" applyProtection="1">
      <alignment wrapText="1"/>
      <protection locked="0"/>
    </xf>
    <xf numFmtId="0" fontId="4" fillId="0" borderId="5" xfId="1" applyFont="1" applyBorder="1" applyAlignment="1" applyProtection="1">
      <alignment horizontal="center" vertical="center" wrapText="1"/>
      <protection locked="0"/>
    </xf>
    <xf numFmtId="0" fontId="4" fillId="0" borderId="6" xfId="1" applyFont="1" applyBorder="1" applyAlignment="1" applyProtection="1">
      <alignment horizontal="right" vertical="center" wrapText="1"/>
      <protection locked="0"/>
    </xf>
    <xf numFmtId="0" fontId="6" fillId="0" borderId="6" xfId="1" applyFont="1" applyBorder="1" applyAlignment="1">
      <alignment horizontal="center" vertical="center" shrinkToFit="1"/>
    </xf>
    <xf numFmtId="0" fontId="4" fillId="0" borderId="7" xfId="1" applyFont="1" applyBorder="1" applyAlignment="1" applyProtection="1">
      <alignment vertical="center" wrapText="1"/>
      <protection locked="0"/>
    </xf>
    <xf numFmtId="0" fontId="4" fillId="0" borderId="0" xfId="1" applyFont="1" applyAlignment="1" applyProtection="1">
      <alignment vertical="center" wrapText="1"/>
      <protection locked="0"/>
    </xf>
    <xf numFmtId="0" fontId="16" fillId="4" borderId="6" xfId="1" applyFont="1" applyFill="1" applyBorder="1" applyAlignment="1" applyProtection="1">
      <alignment horizontal="left" shrinkToFit="1"/>
      <protection locked="0"/>
    </xf>
    <xf numFmtId="0" fontId="14" fillId="3" borderId="6" xfId="1" applyFont="1" applyFill="1" applyBorder="1" applyAlignment="1" applyProtection="1">
      <alignment horizontal="left" wrapText="1"/>
      <protection locked="0"/>
    </xf>
    <xf numFmtId="0" fontId="14" fillId="3" borderId="6" xfId="1" applyFont="1" applyFill="1" applyBorder="1" applyAlignment="1" applyProtection="1">
      <alignment horizontal="center" shrinkToFit="1"/>
      <protection locked="0"/>
    </xf>
    <xf numFmtId="0" fontId="14" fillId="3" borderId="7" xfId="1" applyFont="1" applyFill="1" applyBorder="1" applyAlignment="1" applyProtection="1">
      <alignment horizontal="center" wrapText="1"/>
      <protection locked="0"/>
    </xf>
    <xf numFmtId="0" fontId="19" fillId="0" borderId="0" xfId="3" applyFont="1" applyAlignment="1" applyProtection="1">
      <alignment wrapText="1"/>
      <protection locked="0"/>
    </xf>
    <xf numFmtId="0" fontId="19" fillId="0" borderId="0" xfId="1" applyFont="1" applyAlignment="1" applyProtection="1">
      <alignment wrapText="1"/>
      <protection locked="0"/>
    </xf>
    <xf numFmtId="0" fontId="16" fillId="4" borderId="1" xfId="1" applyFont="1" applyFill="1" applyBorder="1" applyAlignment="1" applyProtection="1">
      <alignment horizontal="left" shrinkToFit="1"/>
      <protection locked="0"/>
    </xf>
    <xf numFmtId="0" fontId="4" fillId="0" borderId="8" xfId="1" applyFont="1" applyBorder="1" applyAlignment="1" applyProtection="1">
      <alignment horizontal="center" vertical="center" wrapText="1"/>
      <protection locked="0"/>
    </xf>
    <xf numFmtId="0" fontId="4" fillId="0" borderId="9" xfId="1" applyFont="1" applyBorder="1" applyAlignment="1" applyProtection="1">
      <alignment horizontal="right" vertical="center" wrapText="1"/>
      <protection locked="0"/>
    </xf>
    <xf numFmtId="0" fontId="6" fillId="0" borderId="10" xfId="1" applyFont="1" applyBorder="1" applyAlignment="1">
      <alignment horizontal="center" vertical="center" shrinkToFit="1"/>
    </xf>
    <xf numFmtId="0" fontId="4" fillId="0" borderId="11" xfId="1" applyFont="1" applyBorder="1" applyAlignment="1" applyProtection="1">
      <alignment vertical="center" wrapText="1"/>
      <protection locked="0"/>
    </xf>
    <xf numFmtId="0" fontId="4" fillId="0" borderId="0" xfId="1" applyFont="1" applyAlignment="1" applyProtection="1">
      <alignment wrapText="1"/>
      <protection locked="0"/>
    </xf>
    <xf numFmtId="0" fontId="21" fillId="0" borderId="0" xfId="4" applyNumberFormat="1" applyFont="1" applyFill="1" applyBorder="1" applyProtection="1">
      <alignment horizontal="center" vertical="center"/>
      <protection locked="0"/>
    </xf>
    <xf numFmtId="0" fontId="22" fillId="0" borderId="0" xfId="1" applyFont="1" applyAlignment="1" applyProtection="1">
      <alignment wrapText="1"/>
      <protection locked="0"/>
    </xf>
    <xf numFmtId="0" fontId="23" fillId="0" borderId="0" xfId="4" applyNumberFormat="1" applyFont="1" applyFill="1" applyBorder="1" applyProtection="1">
      <alignment horizontal="center" vertical="center"/>
      <protection locked="0"/>
    </xf>
    <xf numFmtId="0" fontId="4" fillId="0" borderId="12" xfId="1" applyFont="1" applyBorder="1" applyAlignment="1" applyProtection="1">
      <alignment wrapText="1"/>
      <protection locked="0"/>
    </xf>
    <xf numFmtId="0" fontId="6" fillId="0" borderId="0" xfId="1" applyFont="1" applyAlignment="1">
      <alignment horizontal="center" wrapText="1"/>
    </xf>
    <xf numFmtId="0" fontId="4" fillId="0" borderId="13" xfId="1" applyFont="1" applyBorder="1" applyAlignment="1">
      <alignment horizontal="center" vertical="top"/>
    </xf>
    <xf numFmtId="9" fontId="17" fillId="0" borderId="0" xfId="1" applyNumberFormat="1" applyFont="1" applyAlignment="1">
      <alignment horizontal="center" vertical="top" wrapText="1"/>
    </xf>
    <xf numFmtId="0" fontId="17" fillId="0" borderId="14" xfId="1" applyFont="1" applyBorder="1" applyAlignment="1">
      <alignment horizontal="center" vertical="top"/>
    </xf>
    <xf numFmtId="0" fontId="6" fillId="0" borderId="15" xfId="1" applyFont="1" applyBorder="1" applyAlignment="1" applyProtection="1">
      <alignment horizontal="center" wrapText="1"/>
      <protection locked="0"/>
    </xf>
    <xf numFmtId="0" fontId="4" fillId="0" borderId="15" xfId="1" applyFont="1" applyBorder="1" applyAlignment="1" applyProtection="1">
      <alignment wrapText="1"/>
      <protection locked="0"/>
    </xf>
    <xf numFmtId="0" fontId="4" fillId="0" borderId="0" xfId="3" applyFont="1"/>
    <xf numFmtId="0" fontId="3" fillId="0" borderId="6" xfId="1" applyFont="1" applyBorder="1" applyAlignment="1">
      <alignment horizontal="center" vertical="center"/>
    </xf>
    <xf numFmtId="0" fontId="3" fillId="0" borderId="9" xfId="1" applyFont="1" applyBorder="1" applyAlignment="1">
      <alignment horizontal="center" vertical="center"/>
    </xf>
    <xf numFmtId="0" fontId="3" fillId="0" borderId="16" xfId="1" applyFont="1" applyBorder="1" applyAlignment="1">
      <alignment horizontal="center" vertical="center"/>
    </xf>
    <xf numFmtId="0" fontId="3" fillId="0" borderId="17" xfId="1" applyFont="1" applyBorder="1" applyAlignment="1">
      <alignment horizontal="center" vertical="center"/>
    </xf>
    <xf numFmtId="0" fontId="11" fillId="0" borderId="0" xfId="1" applyFont="1" applyAlignment="1">
      <alignment vertical="center"/>
    </xf>
    <xf numFmtId="0" fontId="1" fillId="2" borderId="18" xfId="1" applyFont="1" applyFill="1" applyBorder="1" applyAlignment="1" applyProtection="1">
      <alignment horizontal="center" wrapText="1"/>
      <protection locked="0"/>
    </xf>
    <xf numFmtId="0" fontId="13" fillId="2" borderId="19" xfId="1" applyFont="1" applyFill="1" applyBorder="1" applyAlignment="1" applyProtection="1">
      <alignment horizontal="center" shrinkToFit="1"/>
      <protection locked="0"/>
    </xf>
    <xf numFmtId="0" fontId="13" fillId="2" borderId="19" xfId="1" applyFont="1" applyFill="1" applyBorder="1" applyAlignment="1" applyProtection="1">
      <alignment horizontal="center" wrapText="1"/>
      <protection locked="0"/>
    </xf>
    <xf numFmtId="0" fontId="13" fillId="2" borderId="20" xfId="1" applyFont="1" applyFill="1" applyBorder="1" applyAlignment="1" applyProtection="1">
      <alignment horizontal="center" wrapText="1"/>
      <protection locked="0"/>
    </xf>
    <xf numFmtId="0" fontId="14" fillId="3" borderId="10" xfId="1" applyFont="1" applyFill="1" applyBorder="1" applyAlignment="1" applyProtection="1">
      <alignment horizontal="center" wrapText="1"/>
      <protection locked="0"/>
    </xf>
    <xf numFmtId="0" fontId="14" fillId="3" borderId="10" xfId="1" applyFont="1" applyFill="1" applyBorder="1" applyAlignment="1" applyProtection="1">
      <alignment horizontal="left" shrinkToFit="1"/>
      <protection locked="0"/>
    </xf>
    <xf numFmtId="0" fontId="6" fillId="0" borderId="10" xfId="1" applyFont="1" applyBorder="1" applyAlignment="1" applyProtection="1">
      <alignment horizontal="center" vertical="center" wrapText="1"/>
      <protection locked="0"/>
    </xf>
    <xf numFmtId="0" fontId="6" fillId="0" borderId="10" xfId="1" applyFont="1" applyBorder="1" applyAlignment="1" applyProtection="1">
      <alignment horizontal="right" vertical="center" shrinkToFit="1"/>
      <protection locked="0"/>
    </xf>
    <xf numFmtId="0" fontId="2" fillId="0" borderId="10" xfId="3" applyBorder="1"/>
    <xf numFmtId="0" fontId="6" fillId="0" borderId="10" xfId="1" applyFont="1" applyBorder="1" applyAlignment="1" applyProtection="1">
      <alignment horizontal="right" vertical="center" wrapText="1" shrinkToFit="1"/>
      <protection locked="0"/>
    </xf>
    <xf numFmtId="0" fontId="26" fillId="0" borderId="10" xfId="3" applyFont="1" applyBorder="1"/>
    <xf numFmtId="0" fontId="6" fillId="0" borderId="0" xfId="1" applyFont="1" applyAlignment="1" applyProtection="1">
      <alignment vertical="center" wrapText="1"/>
      <protection locked="0"/>
    </xf>
    <xf numFmtId="0" fontId="8" fillId="0" borderId="6" xfId="1" applyFont="1" applyBorder="1" applyAlignment="1">
      <alignment horizontal="center" vertical="center" wrapText="1"/>
    </xf>
    <xf numFmtId="0" fontId="8" fillId="0" borderId="0" xfId="1" applyFont="1" applyAlignment="1">
      <alignment horizontal="center" vertical="center" wrapText="1"/>
    </xf>
    <xf numFmtId="0" fontId="27" fillId="0" borderId="0" xfId="1" applyFont="1" applyAlignment="1">
      <alignment horizontal="center" vertical="center" shrinkToFit="1"/>
    </xf>
    <xf numFmtId="0" fontId="28" fillId="0" borderId="0" xfId="1" applyFont="1" applyAlignment="1" applyProtection="1">
      <alignment wrapText="1"/>
      <protection locked="0"/>
    </xf>
    <xf numFmtId="0" fontId="6" fillId="0" borderId="0" xfId="1" applyFont="1" applyAlignment="1">
      <alignment vertical="center"/>
    </xf>
    <xf numFmtId="0" fontId="6" fillId="0" borderId="0" xfId="1" applyFont="1" applyAlignment="1">
      <alignment horizontal="center" vertical="center"/>
    </xf>
    <xf numFmtId="0" fontId="6" fillId="0" borderId="0" xfId="1" applyFont="1" applyAlignment="1">
      <alignment horizontal="center" vertical="center" shrinkToFit="1"/>
    </xf>
    <xf numFmtId="0" fontId="4" fillId="0" borderId="0" xfId="1" applyFont="1" applyAlignment="1">
      <alignment horizontal="center" vertical="center"/>
    </xf>
    <xf numFmtId="0" fontId="4" fillId="0" borderId="0" xfId="1" applyFont="1" applyAlignment="1">
      <alignment horizontal="center" vertical="center" shrinkToFit="1"/>
    </xf>
    <xf numFmtId="0" fontId="29" fillId="0" borderId="0" xfId="1" applyFont="1" applyAlignment="1">
      <alignment horizontal="center" vertical="center" wrapText="1"/>
    </xf>
    <xf numFmtId="0" fontId="4" fillId="0" borderId="0" xfId="1" applyFont="1" applyAlignment="1">
      <alignment vertical="center"/>
    </xf>
    <xf numFmtId="0" fontId="4" fillId="0" borderId="0" xfId="3" applyFont="1" applyAlignment="1">
      <alignment vertical="center"/>
    </xf>
  </cellXfs>
  <cellStyles count="5">
    <cellStyle name="ConditionalStyle_2" xfId="4" xr:uid="{C566F9FD-BA75-C347-BB43-C32BCA4FA497}"/>
    <cellStyle name="Excel Built-in Normal" xfId="1" xr:uid="{B2B5044B-8D66-B343-9F45-F5556E3207CA}"/>
    <cellStyle name="Hyperlink 2" xfId="2" xr:uid="{AD094069-37ED-3D44-8997-2B7442BFFB40}"/>
    <cellStyle name="Normal" xfId="0" builtinId="0"/>
    <cellStyle name="Normal 2" xfId="3" xr:uid="{8BF5C127-9705-3F4E-B657-472F7D1186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iso27001security.com" TargetMode="External"/></Relationships>
</file>

<file path=xl/drawings/drawing1.xml><?xml version="1.0" encoding="utf-8"?>
<xdr:wsDr xmlns:xdr="http://schemas.openxmlformats.org/drawingml/2006/spreadsheetDrawing" xmlns:a="http://schemas.openxmlformats.org/drawingml/2006/main">
  <xdr:twoCellAnchor>
    <xdr:from>
      <xdr:col>1</xdr:col>
      <xdr:colOff>66675</xdr:colOff>
      <xdr:row>0</xdr:row>
      <xdr:rowOff>123825</xdr:rowOff>
    </xdr:from>
    <xdr:to>
      <xdr:col>1</xdr:col>
      <xdr:colOff>1466850</xdr:colOff>
      <xdr:row>1</xdr:row>
      <xdr:rowOff>57150</xdr:rowOff>
    </xdr:to>
    <xdr:pic>
      <xdr:nvPicPr>
        <xdr:cNvPr id="2" name="Picture 1">
          <a:hlinkClick xmlns:r="http://schemas.openxmlformats.org/officeDocument/2006/relationships" r:id="rId1"/>
          <a:extLst>
            <a:ext uri="{FF2B5EF4-FFF2-40B4-BE49-F238E27FC236}">
              <a16:creationId xmlns:a16="http://schemas.microsoft.com/office/drawing/2014/main" id="{0823D189-828D-244E-8D9F-7416941250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1775" y="123825"/>
          <a:ext cx="1400175" cy="12414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cap="flat">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Users/aaronjamesflores/Library/CloudStorage/GoogleDrive-fiveaflores@gmail.com/My%20Drive/Masters%20Degree/Macquaire%20University/Security%20Management/Final%20Submission/02%20-%20Combined%20Final%20Submissions/07B.%20%5bISO27K1_6.1.3_B%5d%20Statement%20of%20Applicability.xlsx" TargetMode="External"/><Relationship Id="rId2" Type="http://schemas.microsoft.com/office/2019/04/relationships/externalLinkLongPath" Target="07B.%20%5bISO27K1_6.1.3_B%5d%20Statement%20of%20Applicability.xlsx?B41E202C" TargetMode="External"/><Relationship Id="rId1" Type="http://schemas.openxmlformats.org/officeDocument/2006/relationships/externalLinkPath" Target="file:///B41E202C/07B.%20%5bISO27K1_6.1.3_B%5d%20Statement%20of%20Applicabil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Intro &amp; copyright"/>
      <sheetName val="Mandatory ISMS requirements"/>
      <sheetName val="Annex A controls"/>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iso27001security.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87D2-4AF0-6543-858A-BF4C08F5F0B6}">
  <dimension ref="B1:B19"/>
  <sheetViews>
    <sheetView zoomScaleNormal="100" workbookViewId="0">
      <selection activeCell="B8" sqref="B8"/>
    </sheetView>
  </sheetViews>
  <sheetFormatPr baseColWidth="10" defaultColWidth="9.1640625" defaultRowHeight="14" x14ac:dyDescent="0.2"/>
  <cols>
    <col min="1" max="1" width="2.1640625" style="4" customWidth="1"/>
    <col min="2" max="2" width="255.5" style="4" customWidth="1"/>
    <col min="3" max="16384" width="9.1640625" style="4"/>
  </cols>
  <sheetData>
    <row r="1" spans="2:2" s="2" customFormat="1" ht="103.5" customHeight="1" x14ac:dyDescent="0.2">
      <c r="B1" s="1" t="s">
        <v>0</v>
      </c>
    </row>
    <row r="2" spans="2:2" ht="39" customHeight="1" x14ac:dyDescent="0.25">
      <c r="B2" s="3" t="s">
        <v>1</v>
      </c>
    </row>
    <row r="3" spans="2:2" s="5" customFormat="1" ht="17" x14ac:dyDescent="0.2">
      <c r="B3" s="5" t="s">
        <v>2</v>
      </c>
    </row>
    <row r="4" spans="2:2" s="5" customFormat="1" ht="51" x14ac:dyDescent="0.2">
      <c r="B4" s="5" t="s">
        <v>3</v>
      </c>
    </row>
    <row r="5" spans="2:2" s="5" customFormat="1" ht="34" x14ac:dyDescent="0.2">
      <c r="B5" s="5" t="s">
        <v>4</v>
      </c>
    </row>
    <row r="6" spans="2:2" ht="39" customHeight="1" x14ac:dyDescent="0.25">
      <c r="B6" s="3" t="s">
        <v>5</v>
      </c>
    </row>
    <row r="7" spans="2:2" s="5" customFormat="1" ht="17" x14ac:dyDescent="0.2">
      <c r="B7" s="5" t="s">
        <v>6</v>
      </c>
    </row>
    <row r="8" spans="2:2" s="5" customFormat="1" ht="34" x14ac:dyDescent="0.2">
      <c r="B8" s="5" t="s">
        <v>7</v>
      </c>
    </row>
    <row r="9" spans="2:2" s="5" customFormat="1" ht="17" x14ac:dyDescent="0.2">
      <c r="B9" s="5" t="s">
        <v>8</v>
      </c>
    </row>
    <row r="10" spans="2:2" s="5" customFormat="1" ht="34" x14ac:dyDescent="0.2">
      <c r="B10" s="5" t="s">
        <v>9</v>
      </c>
    </row>
    <row r="11" spans="2:2" ht="39" customHeight="1" x14ac:dyDescent="0.25">
      <c r="B11" s="3" t="s">
        <v>10</v>
      </c>
    </row>
    <row r="12" spans="2:2" s="5" customFormat="1" ht="17" x14ac:dyDescent="0.2">
      <c r="B12" s="5" t="s">
        <v>11</v>
      </c>
    </row>
    <row r="13" spans="2:2" s="5" customFormat="1" ht="17" x14ac:dyDescent="0.2">
      <c r="B13" s="5" t="s">
        <v>12</v>
      </c>
    </row>
    <row r="14" spans="2:2" s="5" customFormat="1" ht="17" x14ac:dyDescent="0.2">
      <c r="B14" s="5" t="s">
        <v>13</v>
      </c>
    </row>
    <row r="15" spans="2:2" ht="39" customHeight="1" x14ac:dyDescent="0.25">
      <c r="B15" s="3" t="s">
        <v>14</v>
      </c>
    </row>
    <row r="16" spans="2:2" s="5" customFormat="1" ht="34" x14ac:dyDescent="0.2">
      <c r="B16" s="5" t="s">
        <v>15</v>
      </c>
    </row>
    <row r="17" spans="2:2" s="5" customFormat="1" ht="34" x14ac:dyDescent="0.2">
      <c r="B17" s="6" t="s">
        <v>16</v>
      </c>
    </row>
    <row r="18" spans="2:2" s="5" customFormat="1" ht="17" x14ac:dyDescent="0.2">
      <c r="B18" s="5" t="s">
        <v>17</v>
      </c>
    </row>
    <row r="19" spans="2:2" ht="20" x14ac:dyDescent="0.25">
      <c r="B19" s="7" t="s">
        <v>18</v>
      </c>
    </row>
  </sheetData>
  <sheetProtection selectLockedCells="1" selectUnlockedCells="1"/>
  <hyperlinks>
    <hyperlink ref="B19" r:id="rId1" xr:uid="{9B5CC8B8-ECF2-214A-863A-966FC8163702}"/>
  </hyperlinks>
  <pageMargins left="0.75" right="0.75" top="1" bottom="1" header="0.51180555555555551" footer="0.51180555555555551"/>
  <pageSetup paperSize="9" firstPageNumber="0" orientation="portrait" horizontalDpi="300" verticalDpi="300" r:id="rId2"/>
  <headerFooter alignWithMargins="0"/>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29612-EA0E-1E4B-B847-AEAF10F92A7F}">
  <sheetPr>
    <pageSetUpPr fitToPage="1"/>
  </sheetPr>
  <dimension ref="A1:AF74"/>
  <sheetViews>
    <sheetView tabSelected="1" zoomScaleNormal="100" workbookViewId="0">
      <pane ySplit="2" topLeftCell="A3" activePane="bottomLeft" state="frozen"/>
      <selection pane="bottomLeft" activeCell="G9" sqref="G9"/>
    </sheetView>
  </sheetViews>
  <sheetFormatPr baseColWidth="10" defaultColWidth="8.6640625" defaultRowHeight="18.25" customHeight="1" x14ac:dyDescent="0.2"/>
  <cols>
    <col min="1" max="1" width="1.1640625" style="40" customWidth="1"/>
    <col min="2" max="2" width="10.33203125" style="13" customWidth="1"/>
    <col min="3" max="3" width="75.6640625" style="40" customWidth="1"/>
    <col min="4" max="4" width="12.33203125" style="40" customWidth="1"/>
    <col min="5" max="5" width="65.6640625" style="40" customWidth="1"/>
    <col min="6" max="16384" width="8.6640625" style="40"/>
  </cols>
  <sheetData>
    <row r="1" spans="2:32" s="9" customFormat="1" ht="45.75" customHeight="1" thickBot="1" x14ac:dyDescent="0.25">
      <c r="B1" s="8" t="s">
        <v>19</v>
      </c>
      <c r="C1" s="8"/>
      <c r="D1" s="8"/>
      <c r="E1" s="8"/>
    </row>
    <row r="2" spans="2:32" s="13" customFormat="1" ht="21.75" customHeight="1" x14ac:dyDescent="0.3">
      <c r="B2" s="10" t="s">
        <v>20</v>
      </c>
      <c r="C2" s="11" t="s">
        <v>21</v>
      </c>
      <c r="D2" s="11" t="s">
        <v>22</v>
      </c>
      <c r="E2" s="12" t="s">
        <v>23</v>
      </c>
    </row>
    <row r="3" spans="2:32" s="17" customFormat="1" ht="39.5" customHeight="1" x14ac:dyDescent="0.3">
      <c r="B3" s="14">
        <v>4</v>
      </c>
      <c r="C3" s="15" t="s">
        <v>24</v>
      </c>
      <c r="D3" s="15"/>
      <c r="E3" s="16"/>
    </row>
    <row r="4" spans="2:32" s="23" customFormat="1" ht="22.5" customHeight="1" x14ac:dyDescent="0.2">
      <c r="B4" s="18">
        <v>4.0999999999999996</v>
      </c>
      <c r="C4" s="19" t="s">
        <v>25</v>
      </c>
      <c r="D4" s="20"/>
      <c r="E4" s="21"/>
      <c r="F4" s="22"/>
      <c r="G4" s="22"/>
      <c r="H4" s="22"/>
      <c r="I4" s="22"/>
      <c r="J4" s="22"/>
      <c r="K4" s="22"/>
      <c r="L4" s="22"/>
      <c r="M4" s="22"/>
      <c r="N4" s="22"/>
      <c r="O4" s="22"/>
      <c r="P4" s="22"/>
      <c r="Q4" s="22"/>
      <c r="R4" s="22"/>
      <c r="S4" s="22"/>
      <c r="T4" s="22"/>
      <c r="U4" s="22"/>
      <c r="V4" s="22"/>
      <c r="W4" s="22"/>
      <c r="X4" s="22"/>
      <c r="Y4" s="22"/>
      <c r="Z4" s="22"/>
      <c r="AA4" s="22"/>
      <c r="AB4" s="22"/>
      <c r="AC4" s="22"/>
      <c r="AD4" s="22"/>
      <c r="AE4" s="22"/>
      <c r="AF4" s="22"/>
    </row>
    <row r="5" spans="2:32" s="28" customFormat="1" ht="22.5" customHeight="1" x14ac:dyDescent="0.2">
      <c r="B5" s="24">
        <v>4.0999999999999996</v>
      </c>
      <c r="C5" s="25" t="s">
        <v>26</v>
      </c>
      <c r="D5" s="26" t="s">
        <v>27</v>
      </c>
      <c r="E5" s="27" t="s">
        <v>28</v>
      </c>
    </row>
    <row r="6" spans="2:32" s="23" customFormat="1" ht="22.5" customHeight="1" x14ac:dyDescent="0.2">
      <c r="B6" s="18">
        <v>4.2</v>
      </c>
      <c r="C6" s="19" t="s">
        <v>29</v>
      </c>
      <c r="D6" s="29"/>
      <c r="E6" s="21"/>
      <c r="F6" s="22"/>
      <c r="G6" s="22"/>
      <c r="H6" s="22"/>
      <c r="I6" s="22"/>
      <c r="J6" s="22"/>
      <c r="K6" s="22"/>
      <c r="L6" s="22"/>
      <c r="M6" s="22"/>
      <c r="N6" s="22"/>
      <c r="O6" s="22"/>
      <c r="P6" s="22"/>
      <c r="Q6" s="22"/>
      <c r="R6" s="22"/>
      <c r="S6" s="22"/>
      <c r="T6" s="22"/>
      <c r="U6" s="22"/>
      <c r="V6" s="22"/>
      <c r="W6" s="22"/>
      <c r="X6" s="22"/>
      <c r="Y6" s="22"/>
      <c r="Z6" s="22"/>
      <c r="AA6" s="22"/>
      <c r="AB6" s="22"/>
      <c r="AC6" s="22"/>
      <c r="AD6" s="22"/>
      <c r="AE6" s="22"/>
      <c r="AF6" s="22"/>
    </row>
    <row r="7" spans="2:32" s="28" customFormat="1" ht="22.5" customHeight="1" x14ac:dyDescent="0.2">
      <c r="B7" s="24" t="s">
        <v>30</v>
      </c>
      <c r="C7" s="25" t="s">
        <v>31</v>
      </c>
      <c r="D7" s="26" t="s">
        <v>32</v>
      </c>
      <c r="E7" s="27" t="s">
        <v>33</v>
      </c>
    </row>
    <row r="8" spans="2:32" s="28" customFormat="1" ht="22.5" customHeight="1" x14ac:dyDescent="0.2">
      <c r="B8" s="24" t="s">
        <v>34</v>
      </c>
      <c r="C8" s="25" t="s">
        <v>35</v>
      </c>
      <c r="D8" s="26" t="s">
        <v>32</v>
      </c>
      <c r="E8" s="27" t="s">
        <v>33</v>
      </c>
    </row>
    <row r="9" spans="2:32" s="23" customFormat="1" ht="22.5" customHeight="1" x14ac:dyDescent="0.2">
      <c r="B9" s="18">
        <v>4.3</v>
      </c>
      <c r="C9" s="19" t="s">
        <v>36</v>
      </c>
      <c r="D9" s="29"/>
      <c r="E9" s="21"/>
      <c r="F9" s="22"/>
      <c r="G9" s="22"/>
      <c r="H9" s="22"/>
      <c r="I9" s="22"/>
      <c r="J9" s="22"/>
      <c r="K9" s="22"/>
      <c r="L9" s="22"/>
      <c r="M9" s="22"/>
      <c r="N9" s="22"/>
      <c r="O9" s="22"/>
      <c r="P9" s="22"/>
      <c r="Q9" s="22"/>
      <c r="R9" s="22"/>
      <c r="S9" s="22"/>
      <c r="T9" s="22"/>
      <c r="U9" s="22"/>
      <c r="V9" s="22"/>
      <c r="W9" s="22"/>
      <c r="X9" s="22"/>
      <c r="Y9" s="22"/>
      <c r="Z9" s="22"/>
      <c r="AA9" s="22"/>
      <c r="AB9" s="22"/>
      <c r="AC9" s="22"/>
      <c r="AD9" s="22"/>
      <c r="AE9" s="22"/>
      <c r="AF9" s="22"/>
    </row>
    <row r="10" spans="2:32" s="28" customFormat="1" ht="22.5" customHeight="1" x14ac:dyDescent="0.2">
      <c r="B10" s="24">
        <v>4.3</v>
      </c>
      <c r="C10" s="25" t="s">
        <v>37</v>
      </c>
      <c r="D10" s="26" t="s">
        <v>27</v>
      </c>
      <c r="E10" s="27" t="s">
        <v>38</v>
      </c>
    </row>
    <row r="11" spans="2:32" s="23" customFormat="1" ht="22.5" customHeight="1" x14ac:dyDescent="0.2">
      <c r="B11" s="18">
        <v>4.4000000000000004</v>
      </c>
      <c r="C11" s="19" t="s">
        <v>39</v>
      </c>
      <c r="D11" s="29"/>
      <c r="E11" s="21"/>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row>
    <row r="12" spans="2:32" s="28" customFormat="1" ht="22.5" customHeight="1" x14ac:dyDescent="0.2">
      <c r="B12" s="24">
        <v>4.4000000000000004</v>
      </c>
      <c r="C12" s="25" t="s">
        <v>40</v>
      </c>
      <c r="D12" s="26" t="s">
        <v>32</v>
      </c>
      <c r="E12" s="27" t="s">
        <v>41</v>
      </c>
    </row>
    <row r="13" spans="2:32" s="17" customFormat="1" ht="39.5" customHeight="1" x14ac:dyDescent="0.3">
      <c r="B13" s="14">
        <v>5</v>
      </c>
      <c r="C13" s="30" t="s">
        <v>42</v>
      </c>
      <c r="D13" s="31"/>
      <c r="E13" s="32"/>
    </row>
    <row r="14" spans="2:32" s="23" customFormat="1" ht="22.5" customHeight="1" x14ac:dyDescent="0.2">
      <c r="B14" s="18">
        <v>5.0999999999999996</v>
      </c>
      <c r="C14" s="19" t="s">
        <v>43</v>
      </c>
      <c r="D14" s="29"/>
      <c r="E14" s="21"/>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row>
    <row r="15" spans="2:32" s="28" customFormat="1" ht="22.5" customHeight="1" x14ac:dyDescent="0.2">
      <c r="B15" s="24">
        <v>5.0999999999999996</v>
      </c>
      <c r="C15" s="25" t="s">
        <v>44</v>
      </c>
      <c r="D15" s="26" t="s">
        <v>32</v>
      </c>
      <c r="E15" s="27" t="s">
        <v>45</v>
      </c>
    </row>
    <row r="16" spans="2:32" s="23" customFormat="1" ht="22.5" customHeight="1" x14ac:dyDescent="0.2">
      <c r="B16" s="18">
        <v>5.2</v>
      </c>
      <c r="C16" s="19" t="s">
        <v>46</v>
      </c>
      <c r="D16" s="29"/>
      <c r="E16" s="21"/>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row>
    <row r="17" spans="2:32" s="28" customFormat="1" ht="22.5" customHeight="1" x14ac:dyDescent="0.2">
      <c r="B17" s="24">
        <v>5.2</v>
      </c>
      <c r="C17" s="25" t="s">
        <v>47</v>
      </c>
      <c r="D17" s="26" t="s">
        <v>32</v>
      </c>
      <c r="E17" s="27" t="s">
        <v>45</v>
      </c>
    </row>
    <row r="18" spans="2:32" s="23" customFormat="1" ht="22.5" customHeight="1" x14ac:dyDescent="0.2">
      <c r="B18" s="18">
        <v>5.3</v>
      </c>
      <c r="C18" s="19" t="s">
        <v>48</v>
      </c>
      <c r="D18" s="29"/>
      <c r="E18" s="21"/>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row>
    <row r="19" spans="2:32" s="28" customFormat="1" ht="22.5" customHeight="1" x14ac:dyDescent="0.2">
      <c r="B19" s="24">
        <v>5.3</v>
      </c>
      <c r="C19" s="25" t="s">
        <v>49</v>
      </c>
      <c r="D19" s="26" t="s">
        <v>32</v>
      </c>
      <c r="E19" s="27" t="s">
        <v>28</v>
      </c>
    </row>
    <row r="20" spans="2:32" s="17" customFormat="1" ht="39.5" customHeight="1" x14ac:dyDescent="0.3">
      <c r="B20" s="14">
        <v>6</v>
      </c>
      <c r="C20" s="30" t="s">
        <v>50</v>
      </c>
      <c r="D20" s="31"/>
      <c r="E20" s="32"/>
    </row>
    <row r="21" spans="2:32" s="23" customFormat="1" ht="22.5" customHeight="1" x14ac:dyDescent="0.2">
      <c r="B21" s="18">
        <v>6.1</v>
      </c>
      <c r="C21" s="19" t="s">
        <v>51</v>
      </c>
      <c r="D21" s="29"/>
      <c r="E21" s="21"/>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row>
    <row r="22" spans="2:32" s="28" customFormat="1" ht="22.5" customHeight="1" collapsed="1" x14ac:dyDescent="0.2">
      <c r="B22" s="24" t="s">
        <v>52</v>
      </c>
      <c r="C22" s="25" t="s">
        <v>53</v>
      </c>
      <c r="D22" s="26" t="s">
        <v>27</v>
      </c>
      <c r="E22" s="27" t="s">
        <v>54</v>
      </c>
    </row>
    <row r="23" spans="2:32" s="28" customFormat="1" ht="22.5" customHeight="1" collapsed="1" x14ac:dyDescent="0.2">
      <c r="B23" s="24" t="s">
        <v>55</v>
      </c>
      <c r="C23" s="25" t="s">
        <v>56</v>
      </c>
      <c r="D23" s="26" t="s">
        <v>27</v>
      </c>
      <c r="E23" s="27" t="s">
        <v>54</v>
      </c>
    </row>
    <row r="24" spans="2:32" s="28" customFormat="1" ht="22.5" customHeight="1" collapsed="1" x14ac:dyDescent="0.2">
      <c r="B24" s="24" t="s">
        <v>57</v>
      </c>
      <c r="C24" s="25" t="s">
        <v>58</v>
      </c>
      <c r="D24" s="26" t="s">
        <v>27</v>
      </c>
      <c r="E24" s="27" t="s">
        <v>59</v>
      </c>
    </row>
    <row r="25" spans="2:32" s="23" customFormat="1" ht="22.5" customHeight="1" x14ac:dyDescent="0.2">
      <c r="B25" s="18">
        <v>6.2</v>
      </c>
      <c r="C25" s="19" t="s">
        <v>60</v>
      </c>
      <c r="D25" s="29"/>
      <c r="E25" s="21"/>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spans="2:32" s="23" customFormat="1" ht="22.5" customHeight="1" x14ac:dyDescent="0.2">
      <c r="B26" s="24">
        <v>6.2</v>
      </c>
      <c r="C26" s="25" t="s">
        <v>61</v>
      </c>
      <c r="D26" s="26" t="s">
        <v>27</v>
      </c>
      <c r="E26" s="27" t="s">
        <v>62</v>
      </c>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row>
    <row r="27" spans="2:32" s="23" customFormat="1" ht="22.5" customHeight="1" x14ac:dyDescent="0.2">
      <c r="B27" s="18">
        <v>6.3</v>
      </c>
      <c r="C27" s="19" t="s">
        <v>63</v>
      </c>
      <c r="D27" s="29"/>
      <c r="E27" s="21"/>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row>
    <row r="28" spans="2:32" s="28" customFormat="1" ht="22.5" customHeight="1" collapsed="1" x14ac:dyDescent="0.2">
      <c r="B28" s="24">
        <v>6.3</v>
      </c>
      <c r="C28" s="25" t="s">
        <v>64</v>
      </c>
      <c r="D28" s="26" t="s">
        <v>65</v>
      </c>
      <c r="E28" s="27" t="s">
        <v>62</v>
      </c>
    </row>
    <row r="29" spans="2:32" s="34" customFormat="1" ht="39.5" customHeight="1" x14ac:dyDescent="0.3">
      <c r="B29" s="14">
        <v>7</v>
      </c>
      <c r="C29" s="30" t="s">
        <v>66</v>
      </c>
      <c r="D29" s="31"/>
      <c r="E29" s="32"/>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row>
    <row r="30" spans="2:32" s="23" customFormat="1" ht="22.5" customHeight="1" x14ac:dyDescent="0.2">
      <c r="B30" s="18">
        <v>7.1</v>
      </c>
      <c r="C30" s="19" t="s">
        <v>67</v>
      </c>
      <c r="D30" s="29"/>
      <c r="E30" s="21"/>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row>
    <row r="31" spans="2:32" s="28" customFormat="1" ht="22.5" customHeight="1" collapsed="1" x14ac:dyDescent="0.2">
      <c r="B31" s="24">
        <v>7.1</v>
      </c>
      <c r="C31" s="25" t="s">
        <v>68</v>
      </c>
      <c r="D31" s="26" t="s">
        <v>32</v>
      </c>
      <c r="E31" s="27" t="s">
        <v>28</v>
      </c>
    </row>
    <row r="32" spans="2:32" s="23" customFormat="1" ht="22.5" customHeight="1" x14ac:dyDescent="0.2">
      <c r="B32" s="18">
        <v>7.2</v>
      </c>
      <c r="C32" s="19" t="s">
        <v>69</v>
      </c>
      <c r="D32" s="29"/>
      <c r="E32" s="21"/>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row>
    <row r="33" spans="2:32" s="28" customFormat="1" ht="22.5" customHeight="1" collapsed="1" x14ac:dyDescent="0.2">
      <c r="B33" s="24">
        <v>7.2</v>
      </c>
      <c r="C33" s="25" t="s">
        <v>70</v>
      </c>
      <c r="D33" s="26" t="s">
        <v>27</v>
      </c>
      <c r="E33" s="27" t="s">
        <v>71</v>
      </c>
    </row>
    <row r="34" spans="2:32" s="23" customFormat="1" ht="22.5" customHeight="1" x14ac:dyDescent="0.2">
      <c r="B34" s="18">
        <v>7.3</v>
      </c>
      <c r="C34" s="19" t="s">
        <v>72</v>
      </c>
      <c r="D34" s="29"/>
      <c r="E34" s="21"/>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row>
    <row r="35" spans="2:32" s="28" customFormat="1" ht="22.5" customHeight="1" collapsed="1" x14ac:dyDescent="0.2">
      <c r="B35" s="24">
        <v>7.3</v>
      </c>
      <c r="C35" s="25" t="s">
        <v>73</v>
      </c>
      <c r="D35" s="26" t="s">
        <v>27</v>
      </c>
      <c r="E35" s="27"/>
    </row>
    <row r="36" spans="2:32" s="23" customFormat="1" ht="22.5" customHeight="1" x14ac:dyDescent="0.2">
      <c r="B36" s="18">
        <v>7.4</v>
      </c>
      <c r="C36" s="19" t="s">
        <v>74</v>
      </c>
      <c r="D36" s="29"/>
      <c r="E36" s="21"/>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row>
    <row r="37" spans="2:32" s="28" customFormat="1" ht="22.5" customHeight="1" collapsed="1" x14ac:dyDescent="0.2">
      <c r="B37" s="24">
        <v>7.4</v>
      </c>
      <c r="C37" s="25" t="s">
        <v>75</v>
      </c>
      <c r="D37" s="26" t="s">
        <v>27</v>
      </c>
      <c r="E37" s="27" t="s">
        <v>76</v>
      </c>
    </row>
    <row r="38" spans="2:32" s="23" customFormat="1" ht="22.5" customHeight="1" x14ac:dyDescent="0.2">
      <c r="B38" s="18">
        <v>7.5</v>
      </c>
      <c r="C38" s="19" t="s">
        <v>77</v>
      </c>
      <c r="D38" s="29"/>
      <c r="E38" s="21"/>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row>
    <row r="39" spans="2:32" s="28" customFormat="1" ht="22.5" customHeight="1" collapsed="1" x14ac:dyDescent="0.2">
      <c r="B39" s="24" t="s">
        <v>78</v>
      </c>
      <c r="C39" s="25" t="s">
        <v>79</v>
      </c>
      <c r="D39" s="26" t="s">
        <v>27</v>
      </c>
      <c r="E39" s="27" t="s">
        <v>80</v>
      </c>
    </row>
    <row r="40" spans="2:32" s="28" customFormat="1" ht="22.5" customHeight="1" collapsed="1" x14ac:dyDescent="0.2">
      <c r="B40" s="24" t="s">
        <v>81</v>
      </c>
      <c r="C40" s="25" t="s">
        <v>82</v>
      </c>
      <c r="D40" s="26" t="s">
        <v>27</v>
      </c>
      <c r="E40" s="27"/>
    </row>
    <row r="41" spans="2:32" s="28" customFormat="1" ht="22.5" customHeight="1" collapsed="1" x14ac:dyDescent="0.2">
      <c r="B41" s="24" t="s">
        <v>83</v>
      </c>
      <c r="C41" s="25" t="s">
        <v>84</v>
      </c>
      <c r="D41" s="26" t="s">
        <v>32</v>
      </c>
      <c r="E41" s="27" t="s">
        <v>85</v>
      </c>
    </row>
    <row r="42" spans="2:32" s="34" customFormat="1" ht="39.5" customHeight="1" x14ac:dyDescent="0.3">
      <c r="B42" s="14">
        <v>8</v>
      </c>
      <c r="C42" s="30" t="s">
        <v>86</v>
      </c>
      <c r="D42" s="31"/>
      <c r="E42" s="32"/>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row>
    <row r="43" spans="2:32" s="23" customFormat="1" ht="22.5" customHeight="1" x14ac:dyDescent="0.2">
      <c r="B43" s="18">
        <v>8.1</v>
      </c>
      <c r="C43" s="19" t="s">
        <v>87</v>
      </c>
      <c r="D43" s="29"/>
      <c r="E43" s="21"/>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row>
    <row r="44" spans="2:32" s="28" customFormat="1" ht="22.5" customHeight="1" collapsed="1" x14ac:dyDescent="0.2">
      <c r="B44" s="24">
        <v>8.1</v>
      </c>
      <c r="C44" s="25" t="s">
        <v>88</v>
      </c>
      <c r="D44" s="26" t="s">
        <v>27</v>
      </c>
      <c r="E44" s="27" t="s">
        <v>89</v>
      </c>
    </row>
    <row r="45" spans="2:32" s="23" customFormat="1" ht="22.5" customHeight="1" x14ac:dyDescent="0.2">
      <c r="B45" s="18">
        <v>8.1999999999999993</v>
      </c>
      <c r="C45" s="19" t="s">
        <v>90</v>
      </c>
      <c r="D45" s="29"/>
      <c r="E45" s="21"/>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row>
    <row r="46" spans="2:32" s="28" customFormat="1" ht="22.5" customHeight="1" collapsed="1" x14ac:dyDescent="0.2">
      <c r="B46" s="24">
        <v>8.1999999999999993</v>
      </c>
      <c r="C46" s="25" t="s">
        <v>91</v>
      </c>
      <c r="D46" s="26" t="s">
        <v>27</v>
      </c>
      <c r="E46" s="27" t="s">
        <v>54</v>
      </c>
    </row>
    <row r="47" spans="2:32" s="23" customFormat="1" ht="22.5" customHeight="1" x14ac:dyDescent="0.2">
      <c r="B47" s="18">
        <v>8.3000000000000007</v>
      </c>
      <c r="C47" s="19" t="s">
        <v>92</v>
      </c>
      <c r="D47" s="29"/>
      <c r="E47" s="21"/>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row>
    <row r="48" spans="2:32" s="28" customFormat="1" ht="22.5" customHeight="1" collapsed="1" x14ac:dyDescent="0.2">
      <c r="B48" s="24">
        <v>8.3000000000000007</v>
      </c>
      <c r="C48" s="25" t="s">
        <v>93</v>
      </c>
      <c r="D48" s="26" t="s">
        <v>27</v>
      </c>
      <c r="E48" s="27" t="s">
        <v>94</v>
      </c>
    </row>
    <row r="49" spans="1:32" s="34" customFormat="1" ht="39.5" customHeight="1" x14ac:dyDescent="0.3">
      <c r="B49" s="14">
        <v>9</v>
      </c>
      <c r="C49" s="30" t="s">
        <v>95</v>
      </c>
      <c r="D49" s="31"/>
      <c r="E49" s="32"/>
    </row>
    <row r="50" spans="1:32" s="23" customFormat="1" ht="22.5" customHeight="1" x14ac:dyDescent="0.2">
      <c r="B50" s="18">
        <v>9.1</v>
      </c>
      <c r="C50" s="19" t="s">
        <v>96</v>
      </c>
      <c r="D50" s="29"/>
      <c r="E50" s="21"/>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row>
    <row r="51" spans="1:32" s="28" customFormat="1" ht="22.5" customHeight="1" collapsed="1" x14ac:dyDescent="0.2">
      <c r="B51" s="24">
        <v>9.1</v>
      </c>
      <c r="C51" s="25" t="s">
        <v>97</v>
      </c>
      <c r="D51" s="26" t="s">
        <v>98</v>
      </c>
      <c r="E51" s="27"/>
    </row>
    <row r="52" spans="1:32" s="23" customFormat="1" ht="22.5" customHeight="1" x14ac:dyDescent="0.2">
      <c r="B52" s="18">
        <v>9.1999999999999993</v>
      </c>
      <c r="C52" s="19" t="s">
        <v>99</v>
      </c>
      <c r="D52" s="29"/>
      <c r="E52" s="21"/>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row>
    <row r="53" spans="1:32" s="28" customFormat="1" ht="22.5" customHeight="1" collapsed="1" x14ac:dyDescent="0.2">
      <c r="B53" s="24">
        <v>9.1999999999999993</v>
      </c>
      <c r="C53" s="25" t="s">
        <v>100</v>
      </c>
      <c r="D53" s="26" t="s">
        <v>32</v>
      </c>
      <c r="E53" s="27" t="s">
        <v>101</v>
      </c>
    </row>
    <row r="54" spans="1:32" s="23" customFormat="1" ht="22.5" customHeight="1" x14ac:dyDescent="0.2">
      <c r="B54" s="18">
        <v>9.3000000000000007</v>
      </c>
      <c r="C54" s="19" t="s">
        <v>102</v>
      </c>
      <c r="D54" s="29"/>
      <c r="E54" s="21"/>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row>
    <row r="55" spans="1:32" s="28" customFormat="1" ht="22.5" customHeight="1" collapsed="1" x14ac:dyDescent="0.2">
      <c r="B55" s="24">
        <v>9.3000000000000007</v>
      </c>
      <c r="C55" s="25" t="s">
        <v>103</v>
      </c>
      <c r="D55" s="26" t="s">
        <v>27</v>
      </c>
      <c r="E55" s="27" t="s">
        <v>104</v>
      </c>
    </row>
    <row r="56" spans="1:32" s="34" customFormat="1" ht="39.5" customHeight="1" x14ac:dyDescent="0.3">
      <c r="B56" s="14">
        <v>10</v>
      </c>
      <c r="C56" s="30" t="s">
        <v>105</v>
      </c>
      <c r="D56" s="31"/>
      <c r="E56" s="32"/>
    </row>
    <row r="57" spans="1:32" s="23" customFormat="1" ht="22.5" customHeight="1" x14ac:dyDescent="0.2">
      <c r="B57" s="18">
        <v>10.1</v>
      </c>
      <c r="C57" s="19" t="s">
        <v>106</v>
      </c>
      <c r="D57" s="29"/>
      <c r="E57" s="21"/>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row>
    <row r="58" spans="1:32" s="28" customFormat="1" ht="22.5" customHeight="1" collapsed="1" x14ac:dyDescent="0.2">
      <c r="B58" s="24">
        <v>10.1</v>
      </c>
      <c r="C58" s="25" t="s">
        <v>107</v>
      </c>
      <c r="D58" s="26" t="s">
        <v>27</v>
      </c>
      <c r="E58" s="27" t="s">
        <v>108</v>
      </c>
    </row>
    <row r="59" spans="1:32" s="23" customFormat="1" ht="22.5" customHeight="1" x14ac:dyDescent="0.2">
      <c r="B59" s="18">
        <v>10.199999999999999</v>
      </c>
      <c r="C59" s="19" t="s">
        <v>109</v>
      </c>
      <c r="D59" s="35"/>
      <c r="E59" s="21"/>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row>
    <row r="60" spans="1:32" s="28" customFormat="1" ht="22.5" customHeight="1" collapsed="1" thickBot="1" x14ac:dyDescent="0.25">
      <c r="B60" s="36">
        <v>10.199999999999999</v>
      </c>
      <c r="C60" s="37" t="s">
        <v>110</v>
      </c>
      <c r="D60" s="38" t="s">
        <v>32</v>
      </c>
      <c r="E60" s="39" t="s">
        <v>111</v>
      </c>
    </row>
    <row r="61" spans="1:32" ht="18.25" customHeight="1" x14ac:dyDescent="0.2">
      <c r="D61" s="41">
        <f>COUNTA(D5:D60)</f>
        <v>28</v>
      </c>
      <c r="E61" s="42" t="s">
        <v>112</v>
      </c>
    </row>
    <row r="62" spans="1:32" ht="18.25" customHeight="1" x14ac:dyDescent="0.2">
      <c r="D62" s="43"/>
    </row>
    <row r="63" spans="1:32" ht="18.25" customHeight="1" x14ac:dyDescent="0.2">
      <c r="A63" s="44"/>
      <c r="B63" s="40"/>
      <c r="D63" s="45"/>
    </row>
    <row r="64" spans="1:32" ht="38.75" customHeight="1" x14ac:dyDescent="0.2">
      <c r="A64" s="46">
        <f>COUNTIF($D$5:$D$60,"Non Existent")</f>
        <v>0</v>
      </c>
      <c r="B64" s="40"/>
      <c r="D64" s="47"/>
    </row>
    <row r="65" spans="1:4" ht="38.75" customHeight="1" x14ac:dyDescent="0.2">
      <c r="A65" s="46">
        <f>COUNTIF($D$5:$D$60,"Initial")</f>
        <v>1</v>
      </c>
      <c r="B65" s="40"/>
      <c r="D65" s="47"/>
    </row>
    <row r="66" spans="1:4" ht="38.75" customHeight="1" x14ac:dyDescent="0.2">
      <c r="A66" s="46">
        <f>COUNTIF($D$5:$D$60,"Limited")</f>
        <v>1</v>
      </c>
      <c r="B66" s="40"/>
      <c r="D66" s="47"/>
    </row>
    <row r="67" spans="1:4" ht="38.75" customHeight="1" x14ac:dyDescent="0.2">
      <c r="A67" s="46">
        <f>COUNTIF($D$5:$D$58,"Defined")</f>
        <v>9</v>
      </c>
      <c r="B67" s="40"/>
      <c r="D67" s="47"/>
    </row>
    <row r="68" spans="1:4" ht="38.75" customHeight="1" x14ac:dyDescent="0.2">
      <c r="A68" s="46">
        <f>COUNTIF($D$5:$D$60,"managed")</f>
        <v>16</v>
      </c>
      <c r="B68" s="40"/>
      <c r="D68" s="47"/>
    </row>
    <row r="69" spans="1:4" ht="38.75" customHeight="1" x14ac:dyDescent="0.2">
      <c r="A69" s="46">
        <f>COUNTIF($D$5:$D$60,"Optimized")</f>
        <v>0</v>
      </c>
      <c r="B69" s="40"/>
      <c r="D69" s="47"/>
    </row>
    <row r="70" spans="1:4" ht="38.75" customHeight="1" x14ac:dyDescent="0.2">
      <c r="A70" s="46">
        <f>COUNTIF($D$5:$D$58,"Not Applicable")</f>
        <v>0</v>
      </c>
      <c r="B70" s="40"/>
      <c r="D70" s="47"/>
    </row>
    <row r="71" spans="1:4" ht="38.75" customHeight="1" x14ac:dyDescent="0.2">
      <c r="A71" s="46">
        <f>COUNTIF($D$5:$D$60,"Not Checked")</f>
        <v>0</v>
      </c>
      <c r="B71" s="40"/>
      <c r="D71" s="47"/>
    </row>
    <row r="72" spans="1:4" ht="18.25" customHeight="1" x14ac:dyDescent="0.2">
      <c r="A72" s="48">
        <f>SUM(A64:A71)</f>
        <v>27</v>
      </c>
      <c r="B72" s="49"/>
      <c r="C72" s="50"/>
    </row>
    <row r="74" spans="1:4" ht="18.25" customHeight="1" x14ac:dyDescent="0.2">
      <c r="A74" s="51"/>
      <c r="B74" s="51"/>
    </row>
  </sheetData>
  <sheetProtection selectLockedCells="1" selectUnlockedCells="1"/>
  <mergeCells count="1">
    <mergeCell ref="B1:E1"/>
  </mergeCells>
  <dataValidations count="1">
    <dataValidation operator="equal" allowBlank="1" showInputMessage="1" showErrorMessage="1" promptTitle="Select Control Scope" sqref="D30:E30 D32:E32 D34:E34 D36:E36 D38:E38 D43:E43 D45:E45 D47:E47 D50:E50 D52:E52 D54:E54 D59:E59" xr:uid="{088EB61B-3071-5B4F-A5D5-1AC4DA0F3483}">
      <formula1>0</formula1>
      <formula2>0</formula2>
    </dataValidation>
  </dataValidations>
  <printOptions horizontalCentered="1" verticalCentered="1"/>
  <pageMargins left="0.25" right="0.25" top="0.75" bottom="0.75" header="0.3" footer="0.3"/>
  <pageSetup paperSize="9" scale="49" firstPageNumber="0" orientation="portrait" verticalDpi="300" r:id="rId1"/>
  <headerFooter alignWithMargins="0">
    <oddFooter>&amp;C&amp;D&amp;RPage&amp;P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83CF6-9A6E-CF47-A9B1-6BCDBEDDBE7D}">
  <sheetPr>
    <pageSetUpPr fitToPage="1"/>
  </sheetPr>
  <dimension ref="A1:IR110"/>
  <sheetViews>
    <sheetView zoomScaleNormal="100" workbookViewId="0">
      <pane xSplit="1" ySplit="2" topLeftCell="B3" activePane="bottomRight" state="frozen"/>
      <selection pane="topRight" activeCell="B1" sqref="B1"/>
      <selection pane="bottomLeft" activeCell="A3" sqref="A3"/>
      <selection pane="bottomRight" activeCell="C20" sqref="C20"/>
    </sheetView>
  </sheetViews>
  <sheetFormatPr baseColWidth="10" defaultColWidth="11.5" defaultRowHeight="14" x14ac:dyDescent="0.2"/>
  <cols>
    <col min="1" max="1" width="1.5" style="76" customWidth="1"/>
    <col min="2" max="2" width="8.5" style="76" customWidth="1"/>
    <col min="3" max="3" width="65.33203125" style="77" customWidth="1"/>
    <col min="4" max="4" width="14.6640625" style="78" customWidth="1"/>
    <col min="5" max="5" width="104.5" style="76" customWidth="1"/>
    <col min="6" max="252" width="30.33203125" style="79" customWidth="1"/>
    <col min="253" max="16384" width="11.5" style="80"/>
  </cols>
  <sheetData>
    <row r="1" spans="1:5" s="56" customFormat="1" ht="32.25" customHeight="1" thickBot="1" x14ac:dyDescent="0.25">
      <c r="A1" s="52"/>
      <c r="B1" s="53" t="s">
        <v>113</v>
      </c>
      <c r="C1" s="54"/>
      <c r="D1" s="54"/>
      <c r="E1" s="55"/>
    </row>
    <row r="2" spans="1:5" s="13" customFormat="1" ht="21.75" customHeight="1" x14ac:dyDescent="0.3">
      <c r="B2" s="57" t="s">
        <v>20</v>
      </c>
      <c r="C2" s="58" t="s">
        <v>114</v>
      </c>
      <c r="D2" s="59" t="s">
        <v>22</v>
      </c>
      <c r="E2" s="60" t="s">
        <v>23</v>
      </c>
    </row>
    <row r="3" spans="1:5" s="17" customFormat="1" ht="32" customHeight="1" x14ac:dyDescent="0.3">
      <c r="B3" s="61" t="s">
        <v>115</v>
      </c>
      <c r="C3" s="62" t="s">
        <v>116</v>
      </c>
      <c r="D3" s="62"/>
      <c r="E3" s="62"/>
    </row>
    <row r="4" spans="1:5" s="28" customFormat="1" ht="22.5" customHeight="1" x14ac:dyDescent="0.15">
      <c r="B4" s="63" t="s">
        <v>117</v>
      </c>
      <c r="C4" s="64" t="s">
        <v>118</v>
      </c>
      <c r="D4" s="38" t="s">
        <v>27</v>
      </c>
      <c r="E4" s="65" t="s">
        <v>119</v>
      </c>
    </row>
    <row r="5" spans="1:5" s="28" customFormat="1" ht="22.5" customHeight="1" x14ac:dyDescent="0.15">
      <c r="B5" s="63" t="s">
        <v>120</v>
      </c>
      <c r="C5" s="64" t="s">
        <v>121</v>
      </c>
      <c r="D5" s="38" t="s">
        <v>65</v>
      </c>
      <c r="E5" s="65" t="s">
        <v>122</v>
      </c>
    </row>
    <row r="6" spans="1:5" s="28" customFormat="1" ht="22.5" customHeight="1" x14ac:dyDescent="0.15">
      <c r="B6" s="63" t="s">
        <v>123</v>
      </c>
      <c r="C6" s="64" t="s">
        <v>124</v>
      </c>
      <c r="D6" s="38" t="s">
        <v>27</v>
      </c>
      <c r="E6" s="65" t="s">
        <v>125</v>
      </c>
    </row>
    <row r="7" spans="1:5" s="28" customFormat="1" ht="22.5" customHeight="1" x14ac:dyDescent="0.15">
      <c r="B7" s="63" t="s">
        <v>126</v>
      </c>
      <c r="C7" s="64" t="s">
        <v>127</v>
      </c>
      <c r="D7" s="38" t="s">
        <v>98</v>
      </c>
      <c r="E7" s="65" t="s">
        <v>128</v>
      </c>
    </row>
    <row r="8" spans="1:5" s="28" customFormat="1" ht="22.5" customHeight="1" x14ac:dyDescent="0.15">
      <c r="B8" s="63" t="s">
        <v>129</v>
      </c>
      <c r="C8" s="64" t="s">
        <v>130</v>
      </c>
      <c r="D8" s="38" t="s">
        <v>131</v>
      </c>
      <c r="E8" s="65"/>
    </row>
    <row r="9" spans="1:5" s="28" customFormat="1" ht="22.5" customHeight="1" x14ac:dyDescent="0.15">
      <c r="B9" s="63" t="s">
        <v>132</v>
      </c>
      <c r="C9" s="64" t="s">
        <v>133</v>
      </c>
      <c r="D9" s="38" t="s">
        <v>131</v>
      </c>
      <c r="E9" s="65"/>
    </row>
    <row r="10" spans="1:5" s="28" customFormat="1" ht="22.5" customHeight="1" x14ac:dyDescent="0.15">
      <c r="B10" s="63" t="s">
        <v>134</v>
      </c>
      <c r="C10" s="64" t="s">
        <v>135</v>
      </c>
      <c r="D10" s="38" t="s">
        <v>131</v>
      </c>
      <c r="E10" s="65"/>
    </row>
    <row r="11" spans="1:5" s="28" customFormat="1" ht="22.5" customHeight="1" x14ac:dyDescent="0.15">
      <c r="B11" s="63" t="s">
        <v>136</v>
      </c>
      <c r="C11" s="64" t="s">
        <v>137</v>
      </c>
      <c r="D11" s="38" t="s">
        <v>65</v>
      </c>
      <c r="E11" s="65" t="s">
        <v>138</v>
      </c>
    </row>
    <row r="12" spans="1:5" s="28" customFormat="1" ht="22.5" customHeight="1" x14ac:dyDescent="0.15">
      <c r="B12" s="63" t="s">
        <v>139</v>
      </c>
      <c r="C12" s="64" t="s">
        <v>140</v>
      </c>
      <c r="D12" s="38" t="s">
        <v>27</v>
      </c>
      <c r="E12" s="65" t="s">
        <v>141</v>
      </c>
    </row>
    <row r="13" spans="1:5" s="28" customFormat="1" ht="22.5" customHeight="1" x14ac:dyDescent="0.15">
      <c r="B13" s="63" t="s">
        <v>142</v>
      </c>
      <c r="C13" s="64" t="s">
        <v>143</v>
      </c>
      <c r="D13" s="38" t="s">
        <v>27</v>
      </c>
      <c r="E13" s="65" t="s">
        <v>144</v>
      </c>
    </row>
    <row r="14" spans="1:5" s="28" customFormat="1" ht="22.5" customHeight="1" x14ac:dyDescent="0.15">
      <c r="B14" s="63" t="s">
        <v>145</v>
      </c>
      <c r="C14" s="64" t="s">
        <v>146</v>
      </c>
      <c r="D14" s="38" t="s">
        <v>131</v>
      </c>
      <c r="E14" s="65"/>
    </row>
    <row r="15" spans="1:5" s="28" customFormat="1" ht="22.5" customHeight="1" x14ac:dyDescent="0.15">
      <c r="B15" s="63" t="s">
        <v>147</v>
      </c>
      <c r="C15" s="64" t="s">
        <v>148</v>
      </c>
      <c r="D15" s="38" t="s">
        <v>32</v>
      </c>
      <c r="E15" s="65" t="s">
        <v>149</v>
      </c>
    </row>
    <row r="16" spans="1:5" s="28" customFormat="1" ht="22.5" customHeight="1" x14ac:dyDescent="0.15">
      <c r="B16" s="63" t="s">
        <v>150</v>
      </c>
      <c r="C16" s="64" t="s">
        <v>151</v>
      </c>
      <c r="D16" s="38" t="s">
        <v>131</v>
      </c>
      <c r="E16" s="65"/>
    </row>
    <row r="17" spans="2:5" s="28" customFormat="1" ht="22.5" customHeight="1" x14ac:dyDescent="0.15">
      <c r="B17" s="63" t="s">
        <v>152</v>
      </c>
      <c r="C17" s="64" t="s">
        <v>153</v>
      </c>
      <c r="D17" s="38" t="s">
        <v>32</v>
      </c>
      <c r="E17" s="65" t="s">
        <v>154</v>
      </c>
    </row>
    <row r="18" spans="2:5" s="28" customFormat="1" ht="22.5" customHeight="1" x14ac:dyDescent="0.15">
      <c r="B18" s="63" t="s">
        <v>155</v>
      </c>
      <c r="C18" s="64" t="s">
        <v>156</v>
      </c>
      <c r="D18" s="38" t="s">
        <v>32</v>
      </c>
      <c r="E18" s="65" t="s">
        <v>157</v>
      </c>
    </row>
    <row r="19" spans="2:5" s="28" customFormat="1" ht="22.5" customHeight="1" x14ac:dyDescent="0.15">
      <c r="B19" s="63" t="s">
        <v>158</v>
      </c>
      <c r="C19" s="64" t="s">
        <v>159</v>
      </c>
      <c r="D19" s="38" t="s">
        <v>32</v>
      </c>
      <c r="E19" s="65" t="s">
        <v>160</v>
      </c>
    </row>
    <row r="20" spans="2:5" s="28" customFormat="1" ht="22.5" customHeight="1" x14ac:dyDescent="0.15">
      <c r="B20" s="63" t="s">
        <v>161</v>
      </c>
      <c r="C20" s="64" t="s">
        <v>162</v>
      </c>
      <c r="D20" s="38" t="s">
        <v>32</v>
      </c>
      <c r="E20" s="65" t="s">
        <v>163</v>
      </c>
    </row>
    <row r="21" spans="2:5" s="28" customFormat="1" ht="22.5" customHeight="1" x14ac:dyDescent="0.15">
      <c r="B21" s="63" t="s">
        <v>164</v>
      </c>
      <c r="C21" s="64" t="s">
        <v>165</v>
      </c>
      <c r="D21" s="38" t="s">
        <v>32</v>
      </c>
      <c r="E21" s="65" t="s">
        <v>166</v>
      </c>
    </row>
    <row r="22" spans="2:5" s="28" customFormat="1" ht="22.5" customHeight="1" x14ac:dyDescent="0.15">
      <c r="B22" s="63" t="s">
        <v>167</v>
      </c>
      <c r="C22" s="64" t="s">
        <v>168</v>
      </c>
      <c r="D22" s="38" t="s">
        <v>32</v>
      </c>
      <c r="E22" s="65" t="s">
        <v>169</v>
      </c>
    </row>
    <row r="23" spans="2:5" s="28" customFormat="1" ht="22.5" customHeight="1" x14ac:dyDescent="0.15">
      <c r="B23" s="63" t="s">
        <v>170</v>
      </c>
      <c r="C23" s="64" t="s">
        <v>171</v>
      </c>
      <c r="D23" s="38" t="s">
        <v>65</v>
      </c>
      <c r="E23" s="65" t="s">
        <v>172</v>
      </c>
    </row>
    <row r="24" spans="2:5" s="28" customFormat="1" ht="31.5" customHeight="1" x14ac:dyDescent="0.2">
      <c r="B24" s="63" t="s">
        <v>173</v>
      </c>
      <c r="C24" s="66" t="s">
        <v>174</v>
      </c>
      <c r="D24" s="38" t="s">
        <v>65</v>
      </c>
      <c r="E24" s="67" t="s">
        <v>175</v>
      </c>
    </row>
    <row r="25" spans="2:5" s="28" customFormat="1" ht="22.5" customHeight="1" x14ac:dyDescent="0.2">
      <c r="B25" s="63" t="s">
        <v>176</v>
      </c>
      <c r="C25" s="64" t="s">
        <v>177</v>
      </c>
      <c r="D25" s="38" t="s">
        <v>65</v>
      </c>
      <c r="E25" s="67" t="s">
        <v>178</v>
      </c>
    </row>
    <row r="26" spans="2:5" s="28" customFormat="1" ht="22.5" customHeight="1" x14ac:dyDescent="0.2">
      <c r="B26" s="63" t="s">
        <v>179</v>
      </c>
      <c r="C26" s="64" t="s">
        <v>180</v>
      </c>
      <c r="D26" s="38" t="s">
        <v>27</v>
      </c>
      <c r="E26" s="67" t="s">
        <v>181</v>
      </c>
    </row>
    <row r="27" spans="2:5" s="28" customFormat="1" ht="22.5" customHeight="1" x14ac:dyDescent="0.2">
      <c r="B27" s="63" t="s">
        <v>182</v>
      </c>
      <c r="C27" s="64" t="s">
        <v>183</v>
      </c>
      <c r="D27" s="38" t="s">
        <v>32</v>
      </c>
      <c r="E27" s="67" t="s">
        <v>184</v>
      </c>
    </row>
    <row r="28" spans="2:5" s="28" customFormat="1" ht="22.5" customHeight="1" x14ac:dyDescent="0.2">
      <c r="B28" s="63" t="s">
        <v>185</v>
      </c>
      <c r="C28" s="64" t="s">
        <v>186</v>
      </c>
      <c r="D28" s="38" t="s">
        <v>32</v>
      </c>
      <c r="E28" s="67" t="s">
        <v>187</v>
      </c>
    </row>
    <row r="29" spans="2:5" s="28" customFormat="1" ht="22.5" customHeight="1" x14ac:dyDescent="0.2">
      <c r="B29" s="63" t="s">
        <v>188</v>
      </c>
      <c r="C29" s="64" t="s">
        <v>189</v>
      </c>
      <c r="D29" s="38" t="s">
        <v>32</v>
      </c>
      <c r="E29" s="67" t="s">
        <v>190</v>
      </c>
    </row>
    <row r="30" spans="2:5" s="28" customFormat="1" ht="22.5" customHeight="1" x14ac:dyDescent="0.15">
      <c r="B30" s="63" t="s">
        <v>191</v>
      </c>
      <c r="C30" s="64" t="s">
        <v>192</v>
      </c>
      <c r="D30" s="38" t="s">
        <v>32</v>
      </c>
      <c r="E30" s="65" t="s">
        <v>193</v>
      </c>
    </row>
    <row r="31" spans="2:5" s="28" customFormat="1" ht="22.5" customHeight="1" x14ac:dyDescent="0.15">
      <c r="B31" s="63" t="s">
        <v>194</v>
      </c>
      <c r="C31" s="64" t="s">
        <v>195</v>
      </c>
      <c r="D31" s="38" t="s">
        <v>196</v>
      </c>
      <c r="E31" s="65"/>
    </row>
    <row r="32" spans="2:5" s="28" customFormat="1" ht="22.5" customHeight="1" x14ac:dyDescent="0.2">
      <c r="B32" s="63" t="s">
        <v>197</v>
      </c>
      <c r="C32" s="64" t="s">
        <v>198</v>
      </c>
      <c r="D32" s="38" t="s">
        <v>32</v>
      </c>
      <c r="E32" s="67" t="s">
        <v>199</v>
      </c>
    </row>
    <row r="33" spans="2:5" s="28" customFormat="1" ht="22.5" customHeight="1" x14ac:dyDescent="0.15">
      <c r="B33" s="63" t="s">
        <v>200</v>
      </c>
      <c r="C33" s="64" t="s">
        <v>201</v>
      </c>
      <c r="D33" s="38" t="s">
        <v>32</v>
      </c>
      <c r="E33" s="65" t="s">
        <v>202</v>
      </c>
    </row>
    <row r="34" spans="2:5" s="28" customFormat="1" ht="22.5" customHeight="1" x14ac:dyDescent="0.2">
      <c r="B34" s="63" t="s">
        <v>203</v>
      </c>
      <c r="C34" s="64" t="s">
        <v>204</v>
      </c>
      <c r="D34" s="38" t="s">
        <v>32</v>
      </c>
      <c r="E34" s="67" t="s">
        <v>205</v>
      </c>
    </row>
    <row r="35" spans="2:5" s="28" customFormat="1" ht="22.5" customHeight="1" x14ac:dyDescent="0.15">
      <c r="B35" s="63" t="s">
        <v>206</v>
      </c>
      <c r="C35" s="64" t="s">
        <v>207</v>
      </c>
      <c r="D35" s="38" t="s">
        <v>65</v>
      </c>
      <c r="E35" s="65" t="s">
        <v>138</v>
      </c>
    </row>
    <row r="36" spans="2:5" s="28" customFormat="1" ht="22.5" customHeight="1" x14ac:dyDescent="0.15">
      <c r="B36" s="63" t="s">
        <v>208</v>
      </c>
      <c r="C36" s="64" t="s">
        <v>209</v>
      </c>
      <c r="D36" s="38" t="s">
        <v>32</v>
      </c>
      <c r="E36" s="65" t="s">
        <v>149</v>
      </c>
    </row>
    <row r="37" spans="2:5" s="28" customFormat="1" ht="22.5" customHeight="1" x14ac:dyDescent="0.15">
      <c r="B37" s="63" t="s">
        <v>210</v>
      </c>
      <c r="C37" s="64" t="s">
        <v>211</v>
      </c>
      <c r="D37" s="38" t="s">
        <v>32</v>
      </c>
      <c r="E37" s="65" t="s">
        <v>212</v>
      </c>
    </row>
    <row r="38" spans="2:5" s="28" customFormat="1" ht="22.5" customHeight="1" x14ac:dyDescent="0.15">
      <c r="B38" s="63" t="s">
        <v>213</v>
      </c>
      <c r="C38" s="64" t="s">
        <v>214</v>
      </c>
      <c r="D38" s="38" t="s">
        <v>196</v>
      </c>
      <c r="E38" s="65"/>
    </row>
    <row r="39" spans="2:5" s="28" customFormat="1" ht="22.5" customHeight="1" x14ac:dyDescent="0.2">
      <c r="B39" s="63" t="s">
        <v>215</v>
      </c>
      <c r="C39" s="64" t="s">
        <v>216</v>
      </c>
      <c r="D39" s="38" t="s">
        <v>32</v>
      </c>
      <c r="E39" s="67" t="s">
        <v>217</v>
      </c>
    </row>
    <row r="40" spans="2:5" s="28" customFormat="1" ht="22.5" customHeight="1" x14ac:dyDescent="0.15">
      <c r="B40" s="63" t="s">
        <v>218</v>
      </c>
      <c r="C40" s="64" t="s">
        <v>219</v>
      </c>
      <c r="D40" s="38" t="s">
        <v>98</v>
      </c>
      <c r="E40" s="65" t="s">
        <v>119</v>
      </c>
    </row>
    <row r="41" spans="2:5" s="17" customFormat="1" ht="39.5" customHeight="1" x14ac:dyDescent="0.3">
      <c r="B41" s="61" t="s">
        <v>220</v>
      </c>
      <c r="C41" s="62" t="s">
        <v>221</v>
      </c>
      <c r="D41" s="62"/>
      <c r="E41" s="62"/>
    </row>
    <row r="42" spans="2:5" s="68" customFormat="1" ht="22.5" customHeight="1" x14ac:dyDescent="0.15">
      <c r="B42" s="63" t="s">
        <v>222</v>
      </c>
      <c r="C42" s="64" t="s">
        <v>223</v>
      </c>
      <c r="D42" s="38" t="s">
        <v>32</v>
      </c>
      <c r="E42" s="65" t="s">
        <v>224</v>
      </c>
    </row>
    <row r="43" spans="2:5" s="68" customFormat="1" ht="22.5" customHeight="1" x14ac:dyDescent="0.15">
      <c r="B43" s="63" t="s">
        <v>225</v>
      </c>
      <c r="C43" s="64" t="s">
        <v>226</v>
      </c>
      <c r="D43" s="38" t="s">
        <v>32</v>
      </c>
      <c r="E43" s="65" t="s">
        <v>224</v>
      </c>
    </row>
    <row r="44" spans="2:5" s="68" customFormat="1" ht="22.5" customHeight="1" x14ac:dyDescent="0.15">
      <c r="B44" s="63" t="s">
        <v>227</v>
      </c>
      <c r="C44" s="64" t="s">
        <v>228</v>
      </c>
      <c r="D44" s="38" t="s">
        <v>27</v>
      </c>
      <c r="E44" s="65" t="s">
        <v>229</v>
      </c>
    </row>
    <row r="45" spans="2:5" s="68" customFormat="1" ht="22.5" customHeight="1" x14ac:dyDescent="0.15">
      <c r="B45" s="63" t="s">
        <v>230</v>
      </c>
      <c r="C45" s="64" t="s">
        <v>231</v>
      </c>
      <c r="D45" s="38" t="s">
        <v>32</v>
      </c>
      <c r="E45" s="65" t="s">
        <v>232</v>
      </c>
    </row>
    <row r="46" spans="2:5" s="68" customFormat="1" ht="22.5" customHeight="1" x14ac:dyDescent="0.15">
      <c r="B46" s="63" t="s">
        <v>233</v>
      </c>
      <c r="C46" s="64" t="s">
        <v>234</v>
      </c>
      <c r="D46" s="38" t="s">
        <v>32</v>
      </c>
      <c r="E46" s="65" t="s">
        <v>224</v>
      </c>
    </row>
    <row r="47" spans="2:5" s="68" customFormat="1" ht="22.5" customHeight="1" x14ac:dyDescent="0.15">
      <c r="B47" s="63" t="s">
        <v>235</v>
      </c>
      <c r="C47" s="64" t="s">
        <v>236</v>
      </c>
      <c r="D47" s="38" t="s">
        <v>27</v>
      </c>
      <c r="E47" s="65" t="s">
        <v>125</v>
      </c>
    </row>
    <row r="48" spans="2:5" s="68" customFormat="1" ht="22.5" customHeight="1" x14ac:dyDescent="0.15">
      <c r="B48" s="63" t="s">
        <v>237</v>
      </c>
      <c r="C48" s="64" t="s">
        <v>238</v>
      </c>
      <c r="D48" s="38" t="s">
        <v>131</v>
      </c>
      <c r="E48" s="65" t="s">
        <v>224</v>
      </c>
    </row>
    <row r="49" spans="2:5" s="68" customFormat="1" ht="22.5" customHeight="1" x14ac:dyDescent="0.15">
      <c r="B49" s="63" t="s">
        <v>239</v>
      </c>
      <c r="C49" s="64" t="s">
        <v>240</v>
      </c>
      <c r="D49" s="38" t="s">
        <v>32</v>
      </c>
      <c r="E49" s="65" t="s">
        <v>193</v>
      </c>
    </row>
    <row r="50" spans="2:5" s="17" customFormat="1" ht="39.5" customHeight="1" x14ac:dyDescent="0.3">
      <c r="B50" s="61" t="s">
        <v>241</v>
      </c>
      <c r="C50" s="62" t="s">
        <v>242</v>
      </c>
      <c r="D50" s="62"/>
      <c r="E50" s="62"/>
    </row>
    <row r="51" spans="2:5" s="68" customFormat="1" ht="22.5" customHeight="1" x14ac:dyDescent="0.15">
      <c r="B51" s="63" t="s">
        <v>243</v>
      </c>
      <c r="C51" s="64" t="s">
        <v>244</v>
      </c>
      <c r="D51" s="38" t="s">
        <v>131</v>
      </c>
      <c r="E51" s="65" t="s">
        <v>245</v>
      </c>
    </row>
    <row r="52" spans="2:5" s="68" customFormat="1" ht="22.5" customHeight="1" x14ac:dyDescent="0.15">
      <c r="B52" s="63" t="s">
        <v>246</v>
      </c>
      <c r="C52" s="64" t="s">
        <v>247</v>
      </c>
      <c r="D52" s="38" t="s">
        <v>131</v>
      </c>
      <c r="E52" s="65"/>
    </row>
    <row r="53" spans="2:5" s="68" customFormat="1" ht="22.5" customHeight="1" x14ac:dyDescent="0.15">
      <c r="B53" s="63" t="s">
        <v>248</v>
      </c>
      <c r="C53" s="64" t="s">
        <v>249</v>
      </c>
      <c r="D53" s="38" t="s">
        <v>131</v>
      </c>
      <c r="E53" s="65"/>
    </row>
    <row r="54" spans="2:5" s="68" customFormat="1" ht="22.5" customHeight="1" x14ac:dyDescent="0.15">
      <c r="B54" s="63" t="s">
        <v>250</v>
      </c>
      <c r="C54" s="64" t="s">
        <v>251</v>
      </c>
      <c r="D54" s="38" t="s">
        <v>131</v>
      </c>
      <c r="E54" s="65"/>
    </row>
    <row r="55" spans="2:5" s="68" customFormat="1" ht="22.5" customHeight="1" x14ac:dyDescent="0.15">
      <c r="B55" s="63" t="s">
        <v>252</v>
      </c>
      <c r="C55" s="64" t="s">
        <v>253</v>
      </c>
      <c r="D55" s="38" t="s">
        <v>131</v>
      </c>
      <c r="E55" s="65"/>
    </row>
    <row r="56" spans="2:5" s="68" customFormat="1" ht="22.5" customHeight="1" x14ac:dyDescent="0.15">
      <c r="B56" s="63" t="s">
        <v>254</v>
      </c>
      <c r="C56" s="64" t="s">
        <v>255</v>
      </c>
      <c r="D56" s="38" t="s">
        <v>131</v>
      </c>
      <c r="E56" s="65"/>
    </row>
    <row r="57" spans="2:5" s="68" customFormat="1" ht="22.5" customHeight="1" x14ac:dyDescent="0.15">
      <c r="B57" s="63" t="s">
        <v>256</v>
      </c>
      <c r="C57" s="64" t="s">
        <v>257</v>
      </c>
      <c r="D57" s="38" t="s">
        <v>131</v>
      </c>
      <c r="E57" s="65"/>
    </row>
    <row r="58" spans="2:5" s="68" customFormat="1" ht="22.5" customHeight="1" x14ac:dyDescent="0.15">
      <c r="B58" s="63" t="s">
        <v>258</v>
      </c>
      <c r="C58" s="64" t="s">
        <v>259</v>
      </c>
      <c r="D58" s="38" t="s">
        <v>131</v>
      </c>
      <c r="E58" s="65"/>
    </row>
    <row r="59" spans="2:5" s="68" customFormat="1" ht="22.5" customHeight="1" x14ac:dyDescent="0.15">
      <c r="B59" s="63" t="s">
        <v>260</v>
      </c>
      <c r="C59" s="64" t="s">
        <v>261</v>
      </c>
      <c r="D59" s="38" t="s">
        <v>131</v>
      </c>
      <c r="E59" s="65"/>
    </row>
    <row r="60" spans="2:5" s="68" customFormat="1" ht="22.5" customHeight="1" x14ac:dyDescent="0.15">
      <c r="B60" s="63" t="s">
        <v>262</v>
      </c>
      <c r="C60" s="64" t="s">
        <v>263</v>
      </c>
      <c r="D60" s="38" t="s">
        <v>131</v>
      </c>
      <c r="E60" s="65"/>
    </row>
    <row r="61" spans="2:5" s="68" customFormat="1" ht="22.5" customHeight="1" x14ac:dyDescent="0.15">
      <c r="B61" s="63" t="s">
        <v>264</v>
      </c>
      <c r="C61" s="64" t="s">
        <v>265</v>
      </c>
      <c r="D61" s="38" t="s">
        <v>131</v>
      </c>
      <c r="E61" s="65"/>
    </row>
    <row r="62" spans="2:5" s="68" customFormat="1" ht="22.5" customHeight="1" x14ac:dyDescent="0.15">
      <c r="B62" s="63" t="s">
        <v>266</v>
      </c>
      <c r="C62" s="64" t="s">
        <v>267</v>
      </c>
      <c r="D62" s="38" t="s">
        <v>131</v>
      </c>
      <c r="E62" s="65"/>
    </row>
    <row r="63" spans="2:5" s="68" customFormat="1" ht="22.5" customHeight="1" x14ac:dyDescent="0.15">
      <c r="B63" s="63" t="s">
        <v>268</v>
      </c>
      <c r="C63" s="64" t="s">
        <v>269</v>
      </c>
      <c r="D63" s="38" t="s">
        <v>131</v>
      </c>
      <c r="E63" s="65"/>
    </row>
    <row r="64" spans="2:5" s="68" customFormat="1" ht="22.5" customHeight="1" x14ac:dyDescent="0.15">
      <c r="B64" s="63" t="s">
        <v>270</v>
      </c>
      <c r="C64" s="64" t="s">
        <v>271</v>
      </c>
      <c r="D64" s="38" t="s">
        <v>131</v>
      </c>
      <c r="E64" s="65"/>
    </row>
    <row r="65" spans="2:5" s="17" customFormat="1" ht="39.5" customHeight="1" x14ac:dyDescent="0.3">
      <c r="B65" s="61" t="s">
        <v>272</v>
      </c>
      <c r="C65" s="62" t="s">
        <v>273</v>
      </c>
      <c r="D65" s="62"/>
      <c r="E65" s="62"/>
    </row>
    <row r="66" spans="2:5" s="68" customFormat="1" ht="22.5" customHeight="1" x14ac:dyDescent="0.15">
      <c r="B66" s="63" t="s">
        <v>274</v>
      </c>
      <c r="C66" s="64" t="s">
        <v>275</v>
      </c>
      <c r="D66" s="38" t="s">
        <v>32</v>
      </c>
      <c r="E66" s="65" t="s">
        <v>276</v>
      </c>
    </row>
    <row r="67" spans="2:5" s="68" customFormat="1" ht="22.5" customHeight="1" x14ac:dyDescent="0.15">
      <c r="B67" s="63" t="s">
        <v>277</v>
      </c>
      <c r="C67" s="64" t="s">
        <v>278</v>
      </c>
      <c r="D67" s="38" t="s">
        <v>27</v>
      </c>
      <c r="E67" s="65" t="s">
        <v>279</v>
      </c>
    </row>
    <row r="68" spans="2:5" s="68" customFormat="1" ht="22.5" customHeight="1" x14ac:dyDescent="0.15">
      <c r="B68" s="63" t="s">
        <v>280</v>
      </c>
      <c r="C68" s="64" t="s">
        <v>281</v>
      </c>
      <c r="D68" s="38" t="s">
        <v>27</v>
      </c>
      <c r="E68" s="65" t="s">
        <v>282</v>
      </c>
    </row>
    <row r="69" spans="2:5" s="68" customFormat="1" ht="22.5" customHeight="1" x14ac:dyDescent="0.15">
      <c r="B69" s="63" t="s">
        <v>283</v>
      </c>
      <c r="C69" s="64" t="s">
        <v>284</v>
      </c>
      <c r="D69" s="38" t="s">
        <v>32</v>
      </c>
      <c r="E69" s="65" t="s">
        <v>285</v>
      </c>
    </row>
    <row r="70" spans="2:5" s="68" customFormat="1" ht="22.5" customHeight="1" x14ac:dyDescent="0.15">
      <c r="B70" s="63" t="s">
        <v>286</v>
      </c>
      <c r="C70" s="64" t="s">
        <v>287</v>
      </c>
      <c r="D70" s="38" t="s">
        <v>32</v>
      </c>
      <c r="E70" s="65" t="s">
        <v>288</v>
      </c>
    </row>
    <row r="71" spans="2:5" s="68" customFormat="1" ht="22.5" customHeight="1" x14ac:dyDescent="0.15">
      <c r="B71" s="63" t="s">
        <v>289</v>
      </c>
      <c r="C71" s="64" t="s">
        <v>290</v>
      </c>
      <c r="D71" s="38" t="s">
        <v>196</v>
      </c>
      <c r="E71" s="65"/>
    </row>
    <row r="72" spans="2:5" s="68" customFormat="1" ht="22.5" customHeight="1" x14ac:dyDescent="0.2">
      <c r="B72" s="63" t="s">
        <v>291</v>
      </c>
      <c r="C72" s="64" t="s">
        <v>292</v>
      </c>
      <c r="D72" s="38" t="s">
        <v>32</v>
      </c>
      <c r="E72" s="67" t="s">
        <v>293</v>
      </c>
    </row>
    <row r="73" spans="2:5" s="68" customFormat="1" ht="22.5" customHeight="1" x14ac:dyDescent="0.2">
      <c r="B73" s="63" t="s">
        <v>294</v>
      </c>
      <c r="C73" s="64" t="s">
        <v>295</v>
      </c>
      <c r="D73" s="38" t="s">
        <v>32</v>
      </c>
      <c r="E73" s="67" t="s">
        <v>296</v>
      </c>
    </row>
    <row r="74" spans="2:5" s="68" customFormat="1" ht="22.5" customHeight="1" x14ac:dyDescent="0.2">
      <c r="B74" s="63" t="s">
        <v>297</v>
      </c>
      <c r="C74" s="64" t="s">
        <v>298</v>
      </c>
      <c r="D74" s="38" t="s">
        <v>32</v>
      </c>
      <c r="E74" s="67" t="s">
        <v>299</v>
      </c>
    </row>
    <row r="75" spans="2:5" s="68" customFormat="1" ht="22.5" customHeight="1" x14ac:dyDescent="0.15">
      <c r="B75" s="63" t="s">
        <v>300</v>
      </c>
      <c r="C75" s="64" t="s">
        <v>301</v>
      </c>
      <c r="D75" s="38" t="s">
        <v>32</v>
      </c>
      <c r="E75" s="65" t="s">
        <v>276</v>
      </c>
    </row>
    <row r="76" spans="2:5" s="68" customFormat="1" ht="22.5" customHeight="1" x14ac:dyDescent="0.15">
      <c r="B76" s="63" t="s">
        <v>302</v>
      </c>
      <c r="C76" s="64" t="s">
        <v>303</v>
      </c>
      <c r="D76" s="38" t="s">
        <v>32</v>
      </c>
      <c r="E76" s="65" t="s">
        <v>304</v>
      </c>
    </row>
    <row r="77" spans="2:5" s="68" customFormat="1" ht="22.5" customHeight="1" x14ac:dyDescent="0.15">
      <c r="B77" s="63" t="s">
        <v>305</v>
      </c>
      <c r="C77" s="64" t="s">
        <v>306</v>
      </c>
      <c r="D77" s="38" t="s">
        <v>32</v>
      </c>
      <c r="E77" s="65" t="s">
        <v>307</v>
      </c>
    </row>
    <row r="78" spans="2:5" s="68" customFormat="1" ht="22.5" customHeight="1" x14ac:dyDescent="0.15">
      <c r="B78" s="63" t="s">
        <v>308</v>
      </c>
      <c r="C78" s="64" t="s">
        <v>309</v>
      </c>
      <c r="D78" s="38" t="s">
        <v>27</v>
      </c>
      <c r="E78" s="65" t="s">
        <v>310</v>
      </c>
    </row>
    <row r="79" spans="2:5" s="68" customFormat="1" ht="22.5" customHeight="1" x14ac:dyDescent="0.15">
      <c r="B79" s="63" t="s">
        <v>311</v>
      </c>
      <c r="C79" s="64" t="s">
        <v>312</v>
      </c>
      <c r="D79" s="38" t="s">
        <v>32</v>
      </c>
      <c r="E79" s="65" t="s">
        <v>313</v>
      </c>
    </row>
    <row r="80" spans="2:5" s="68" customFormat="1" ht="22.5" customHeight="1" x14ac:dyDescent="0.15">
      <c r="B80" s="63" t="s">
        <v>314</v>
      </c>
      <c r="C80" s="64" t="s">
        <v>315</v>
      </c>
      <c r="D80" s="38" t="s">
        <v>32</v>
      </c>
      <c r="E80" s="65" t="s">
        <v>316</v>
      </c>
    </row>
    <row r="81" spans="2:5" s="68" customFormat="1" ht="22.5" customHeight="1" x14ac:dyDescent="0.15">
      <c r="B81" s="63" t="s">
        <v>317</v>
      </c>
      <c r="C81" s="64" t="s">
        <v>318</v>
      </c>
      <c r="D81" s="38" t="s">
        <v>32</v>
      </c>
      <c r="E81" s="65" t="s">
        <v>319</v>
      </c>
    </row>
    <row r="82" spans="2:5" s="68" customFormat="1" ht="22.5" customHeight="1" x14ac:dyDescent="0.15">
      <c r="B82" s="63" t="s">
        <v>320</v>
      </c>
      <c r="C82" s="64" t="s">
        <v>321</v>
      </c>
      <c r="D82" s="38" t="s">
        <v>131</v>
      </c>
      <c r="E82" s="65"/>
    </row>
    <row r="83" spans="2:5" s="68" customFormat="1" ht="22.5" customHeight="1" x14ac:dyDescent="0.15">
      <c r="B83" s="63" t="s">
        <v>322</v>
      </c>
      <c r="C83" s="64" t="s">
        <v>323</v>
      </c>
      <c r="D83" s="38" t="s">
        <v>131</v>
      </c>
      <c r="E83" s="65"/>
    </row>
    <row r="84" spans="2:5" s="68" customFormat="1" ht="22.5" customHeight="1" x14ac:dyDescent="0.15">
      <c r="B84" s="63" t="s">
        <v>324</v>
      </c>
      <c r="C84" s="64" t="s">
        <v>325</v>
      </c>
      <c r="D84" s="38" t="s">
        <v>196</v>
      </c>
      <c r="E84" s="65"/>
    </row>
    <row r="85" spans="2:5" s="68" customFormat="1" ht="22.5" customHeight="1" x14ac:dyDescent="0.15">
      <c r="B85" s="63" t="s">
        <v>326</v>
      </c>
      <c r="C85" s="64" t="s">
        <v>327</v>
      </c>
      <c r="D85" s="38" t="s">
        <v>32</v>
      </c>
      <c r="E85" s="65" t="s">
        <v>328</v>
      </c>
    </row>
    <row r="86" spans="2:5" s="68" customFormat="1" ht="22.5" customHeight="1" x14ac:dyDescent="0.15">
      <c r="B86" s="63" t="s">
        <v>329</v>
      </c>
      <c r="C86" s="64" t="s">
        <v>330</v>
      </c>
      <c r="D86" s="38" t="s">
        <v>196</v>
      </c>
      <c r="E86" s="65"/>
    </row>
    <row r="87" spans="2:5" s="68" customFormat="1" ht="22.5" customHeight="1" x14ac:dyDescent="0.15">
      <c r="B87" s="63" t="s">
        <v>331</v>
      </c>
      <c r="C87" s="64" t="s">
        <v>332</v>
      </c>
      <c r="D87" s="38" t="s">
        <v>196</v>
      </c>
      <c r="E87" s="65"/>
    </row>
    <row r="88" spans="2:5" s="68" customFormat="1" ht="22.5" customHeight="1" x14ac:dyDescent="0.15">
      <c r="B88" s="63" t="s">
        <v>333</v>
      </c>
      <c r="C88" s="64" t="s">
        <v>334</v>
      </c>
      <c r="D88" s="38" t="s">
        <v>32</v>
      </c>
      <c r="E88" s="65" t="s">
        <v>335</v>
      </c>
    </row>
    <row r="89" spans="2:5" s="68" customFormat="1" ht="22.5" customHeight="1" x14ac:dyDescent="0.15">
      <c r="B89" s="63" t="s">
        <v>336</v>
      </c>
      <c r="C89" s="64" t="s">
        <v>337</v>
      </c>
      <c r="D89" s="38" t="s">
        <v>32</v>
      </c>
      <c r="E89" s="65" t="s">
        <v>338</v>
      </c>
    </row>
    <row r="90" spans="2:5" s="68" customFormat="1" ht="22.5" customHeight="1" x14ac:dyDescent="0.2">
      <c r="B90" s="63" t="s">
        <v>339</v>
      </c>
      <c r="C90" s="64" t="s">
        <v>340</v>
      </c>
      <c r="D90" s="38" t="s">
        <v>32</v>
      </c>
      <c r="E90" s="67" t="s">
        <v>341</v>
      </c>
    </row>
    <row r="91" spans="2:5" s="68" customFormat="1" ht="22.5" customHeight="1" x14ac:dyDescent="0.2">
      <c r="B91" s="63" t="s">
        <v>342</v>
      </c>
      <c r="C91" s="64" t="s">
        <v>343</v>
      </c>
      <c r="D91" s="38" t="s">
        <v>32</v>
      </c>
      <c r="E91" s="67" t="s">
        <v>344</v>
      </c>
    </row>
    <row r="92" spans="2:5" s="68" customFormat="1" ht="22.5" customHeight="1" x14ac:dyDescent="0.2">
      <c r="B92" s="63" t="s">
        <v>345</v>
      </c>
      <c r="C92" s="64" t="s">
        <v>346</v>
      </c>
      <c r="D92" s="38" t="s">
        <v>32</v>
      </c>
      <c r="E92" s="67" t="s">
        <v>344</v>
      </c>
    </row>
    <row r="93" spans="2:5" s="68" customFormat="1" ht="22.5" customHeight="1" x14ac:dyDescent="0.15">
      <c r="B93" s="63" t="s">
        <v>347</v>
      </c>
      <c r="C93" s="64" t="s">
        <v>348</v>
      </c>
      <c r="D93" s="38" t="s">
        <v>131</v>
      </c>
      <c r="E93" s="65"/>
    </row>
    <row r="94" spans="2:5" s="68" customFormat="1" ht="22.5" customHeight="1" x14ac:dyDescent="0.15">
      <c r="B94" s="63" t="s">
        <v>349</v>
      </c>
      <c r="C94" s="64" t="s">
        <v>350</v>
      </c>
      <c r="D94" s="38" t="s">
        <v>131</v>
      </c>
      <c r="E94" s="65"/>
    </row>
    <row r="95" spans="2:5" s="68" customFormat="1" ht="22.5" customHeight="1" x14ac:dyDescent="0.15">
      <c r="B95" s="63" t="s">
        <v>351</v>
      </c>
      <c r="C95" s="64" t="s">
        <v>352</v>
      </c>
      <c r="D95" s="38" t="s">
        <v>32</v>
      </c>
      <c r="E95" s="65" t="s">
        <v>353</v>
      </c>
    </row>
    <row r="96" spans="2:5" s="68" customFormat="1" ht="22.5" customHeight="1" x14ac:dyDescent="0.15">
      <c r="B96" s="63" t="s">
        <v>354</v>
      </c>
      <c r="C96" s="64" t="s">
        <v>355</v>
      </c>
      <c r="D96" s="38" t="s">
        <v>131</v>
      </c>
      <c r="E96" s="65"/>
    </row>
    <row r="97" spans="1:5" s="68" customFormat="1" ht="22.5" customHeight="1" x14ac:dyDescent="0.15">
      <c r="B97" s="63" t="s">
        <v>356</v>
      </c>
      <c r="C97" s="64" t="s">
        <v>357</v>
      </c>
      <c r="D97" s="38" t="s">
        <v>32</v>
      </c>
      <c r="E97" s="65" t="s">
        <v>358</v>
      </c>
    </row>
    <row r="98" spans="1:5" s="68" customFormat="1" ht="22.5" customHeight="1" x14ac:dyDescent="0.15">
      <c r="B98" s="63" t="s">
        <v>359</v>
      </c>
      <c r="C98" s="64" t="s">
        <v>360</v>
      </c>
      <c r="D98" s="38" t="s">
        <v>32</v>
      </c>
      <c r="E98" s="65" t="s">
        <v>193</v>
      </c>
    </row>
    <row r="99" spans="1:5" s="68" customFormat="1" ht="22.5" customHeight="1" x14ac:dyDescent="0.15">
      <c r="B99" s="63" t="s">
        <v>361</v>
      </c>
      <c r="C99" s="64" t="s">
        <v>362</v>
      </c>
      <c r="D99" s="38" t="s">
        <v>196</v>
      </c>
      <c r="E99" s="65"/>
    </row>
    <row r="100" spans="1:5" s="73" customFormat="1" ht="17" x14ac:dyDescent="0.2">
      <c r="A100" s="69"/>
      <c r="B100" s="70"/>
      <c r="C100" s="71"/>
      <c r="D100" s="41">
        <f>COUNTA(D3:D99)</f>
        <v>93</v>
      </c>
      <c r="E100" s="72" t="s">
        <v>363</v>
      </c>
    </row>
    <row r="101" spans="1:5" s="73" customFormat="1" ht="16" x14ac:dyDescent="0.2">
      <c r="A101" s="74"/>
      <c r="B101" s="74"/>
      <c r="C101" s="75"/>
      <c r="D101" s="70"/>
      <c r="E101" s="74"/>
    </row>
    <row r="102" spans="1:5" s="73" customFormat="1" ht="16" x14ac:dyDescent="0.2">
      <c r="A102" s="74"/>
      <c r="B102" s="74"/>
      <c r="C102" s="75"/>
      <c r="D102" s="70"/>
      <c r="E102" s="74"/>
    </row>
    <row r="103" spans="1:5" s="73" customFormat="1" ht="16" x14ac:dyDescent="0.2">
      <c r="A103" s="74"/>
      <c r="B103" s="74"/>
      <c r="C103" s="75"/>
      <c r="D103" s="70"/>
      <c r="E103" s="74"/>
    </row>
    <row r="104" spans="1:5" s="73" customFormat="1" ht="16" x14ac:dyDescent="0.2">
      <c r="A104" s="74"/>
      <c r="B104" s="74"/>
      <c r="C104" s="75"/>
      <c r="D104" s="70"/>
      <c r="E104" s="74"/>
    </row>
    <row r="105" spans="1:5" s="73" customFormat="1" ht="16" x14ac:dyDescent="0.2">
      <c r="A105" s="74"/>
      <c r="B105" s="74"/>
      <c r="C105" s="75"/>
      <c r="D105" s="70"/>
      <c r="E105" s="74"/>
    </row>
    <row r="106" spans="1:5" s="73" customFormat="1" ht="16" x14ac:dyDescent="0.2">
      <c r="A106" s="74"/>
      <c r="B106" s="74"/>
      <c r="C106" s="75"/>
      <c r="D106" s="70"/>
      <c r="E106" s="74"/>
    </row>
    <row r="107" spans="1:5" s="73" customFormat="1" ht="16" x14ac:dyDescent="0.2">
      <c r="A107" s="74"/>
      <c r="B107" s="74"/>
      <c r="C107" s="75"/>
      <c r="D107" s="70"/>
      <c r="E107" s="74"/>
    </row>
    <row r="108" spans="1:5" s="73" customFormat="1" ht="16" x14ac:dyDescent="0.2">
      <c r="A108" s="74"/>
      <c r="B108" s="74"/>
      <c r="C108" s="75"/>
      <c r="D108" s="70"/>
      <c r="E108" s="74"/>
    </row>
    <row r="109" spans="1:5" s="73" customFormat="1" ht="16" x14ac:dyDescent="0.2">
      <c r="A109" s="74"/>
      <c r="B109" s="74"/>
      <c r="C109" s="75"/>
      <c r="D109" s="70"/>
      <c r="E109" s="74"/>
    </row>
    <row r="110" spans="1:5" s="73" customFormat="1" ht="16" x14ac:dyDescent="0.2">
      <c r="A110" s="74"/>
      <c r="B110" s="74"/>
      <c r="C110" s="75"/>
      <c r="D110" s="70"/>
      <c r="E110" s="74"/>
    </row>
  </sheetData>
  <sheetProtection selectLockedCells="1" selectUnlockedCells="1"/>
  <mergeCells count="5">
    <mergeCell ref="B1:E1"/>
    <mergeCell ref="C3:E3"/>
    <mergeCell ref="C41:E41"/>
    <mergeCell ref="C50:E50"/>
    <mergeCell ref="C65:E65"/>
  </mergeCells>
  <printOptions gridLines="1"/>
  <pageMargins left="0.39374999999999999" right="0.2951388888888889" top="0.2951388888888889" bottom="0.31597222222222221" header="0.51180555555555551" footer="0.17708333333333334"/>
  <pageSetup paperSize="9" scale="60" firstPageNumber="0" fitToHeight="15" orientation="portrait" verticalDpi="300" r:id="rId1"/>
  <headerFooter alignWithMargins="0">
    <oddFooter>&amp;C&amp;D&amp;RPage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10</vt:i4>
      </vt:variant>
    </vt:vector>
  </HeadingPairs>
  <TitlesOfParts>
    <vt:vector size="13" baseType="lpstr">
      <vt:lpstr>Intro &amp; copyright</vt:lpstr>
      <vt:lpstr>Mandatory ISMS requirements</vt:lpstr>
      <vt:lpstr>Annex A controls</vt:lpstr>
      <vt:lpstr>'Annex A controls'!__xlnm._FilterDatabase</vt:lpstr>
      <vt:lpstr>__xlnm._FilterDatabase_1</vt:lpstr>
      <vt:lpstr>'Annex A controls'!__xlnm.Print_Titles</vt:lpstr>
      <vt:lpstr>ControlTotal</vt:lpstr>
      <vt:lpstr>'Mandatory ISMS requirements'!Excel_BuiltIn_Print_Area</vt:lpstr>
      <vt:lpstr>'Annex A controls'!Excel_BuiltIn_Print_Titles</vt:lpstr>
      <vt:lpstr>'Annex A controls'!Print_Area</vt:lpstr>
      <vt:lpstr>'Mandatory ISMS requirements'!Print_Area</vt:lpstr>
      <vt:lpstr>'Annex A controls'!Print_Titles</vt:lpstr>
      <vt:lpstr>'Mandatory ISMS requirements'!Print_Titles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James Flores</dc:creator>
  <cp:lastModifiedBy>Aaron James Flores</cp:lastModifiedBy>
  <dcterms:created xsi:type="dcterms:W3CDTF">2024-10-27T08:47:22Z</dcterms:created>
  <dcterms:modified xsi:type="dcterms:W3CDTF">2024-10-27T08:50:07Z</dcterms:modified>
</cp:coreProperties>
</file>