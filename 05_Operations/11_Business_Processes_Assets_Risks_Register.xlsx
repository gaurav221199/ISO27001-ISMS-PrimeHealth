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3"/>
  <workbookPr/>
  <mc:AlternateContent xmlns:mc="http://schemas.openxmlformats.org/markup-compatibility/2006">
    <mc:Choice Requires="x15">
      <x15ac:absPath xmlns:x15ac="http://schemas.microsoft.com/office/spreadsheetml/2010/11/ac" url="/Users/aaronjamesflores/Library/CloudStorage/GoogleDrive-fiveaflores@gmail.com/My Drive/Masters Degree/Macquaire University/Security Management/Final Submission/02 - Combined Final Submissions/"/>
    </mc:Choice>
  </mc:AlternateContent>
  <xr:revisionPtr revIDLastSave="0" documentId="13_ncr:1_{D3C94A35-4441-4247-996E-D4D667F408F8}" xr6:coauthVersionLast="47" xr6:coauthVersionMax="47" xr10:uidLastSave="{00000000-0000-0000-0000-000000000000}"/>
  <bookViews>
    <workbookView xWindow="0" yWindow="480" windowWidth="33600" windowHeight="20520" xr2:uid="{00000000-000D-0000-FFFF-FFFF00000000}"/>
  </bookViews>
  <sheets>
    <sheet name="BPs &amp; Information Assets" sheetId="3" r:id="rId1"/>
    <sheet name="Threats" sheetId="4" r:id="rId2"/>
    <sheet name="Loss Calculation" sheetId="13" r:id="rId3"/>
    <sheet name="TRA" sheetId="2" r:id="rId4"/>
    <sheet name="Risk Response" sheetId="11" r:id="rId5"/>
    <sheet name="Controls" sheetId="5" r:id="rId6"/>
    <sheet name="Consequence Table" sheetId="8" r:id="rId7"/>
    <sheet name="WWMD" sheetId="7" r:id="rId8"/>
    <sheet name="Metrics" sheetId="15" r:id="rId9"/>
  </sheets>
  <externalReferences>
    <externalReference r:id="rId10"/>
  </externalReferences>
  <definedNames>
    <definedName name="_xlnm._FilterDatabase" localSheetId="0" hidden="1">'BPs &amp; Information Assets'!$A$1:$L$16</definedName>
    <definedName name="Impact_Rating" localSheetId="3">#REF!</definedName>
    <definedName name="Impact_Rating">#REF!</definedName>
    <definedName name="Likelihood_Consequence" localSheetId="3">#REF!</definedName>
    <definedName name="Likelihood_Consequence">#REF!</definedName>
    <definedName name="Risk_Rating" localSheetId="3">#REF!</definedName>
    <definedName name="Risk_Rating">#REF!</definedName>
    <definedName name="TechAssets">[1]Assets!$A$2:$A$20</definedName>
    <definedName name="ThreatsOrVulnerabilities" localSheetId="3">'[1]TFS Data-ONLY scenarios'!$C$2:$C$89</definedName>
    <definedName name="ThreatsOrVulnerabilities">#REF!</definedName>
    <definedName name="Values" localSheetId="3">#REF!</definedName>
    <definedName name="Values">#REF!</definedName>
    <definedName name="Values1" localSheetId="3">#REF!</definedName>
    <definedName name="Values1">#REF!</definedName>
    <definedName name="Values2" localSheetId="3">#REF!</definedName>
    <definedName name="Values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5" i="13" l="1" a="1"/>
  <c r="L315" i="13"/>
  <c r="L3" i="13" a="1"/>
  <c r="L3" i="13"/>
  <c r="L4" i="13" a="1"/>
  <c r="L4" i="13"/>
  <c r="L5" i="13" a="1"/>
  <c r="L5" i="13"/>
  <c r="L6" i="13" a="1"/>
  <c r="L6" i="13"/>
  <c r="L7" i="13" a="1"/>
  <c r="L7" i="13"/>
  <c r="L8" i="13" a="1"/>
  <c r="L8" i="13"/>
  <c r="L9" i="13" a="1"/>
  <c r="L9" i="13"/>
  <c r="L10" i="13" a="1"/>
  <c r="L10" i="13"/>
  <c r="L11" i="13" a="1"/>
  <c r="L11" i="13"/>
  <c r="L12" i="13" a="1"/>
  <c r="L12" i="13"/>
  <c r="L13" i="13" a="1"/>
  <c r="L13" i="13"/>
  <c r="L14" i="13" a="1"/>
  <c r="L14" i="13"/>
  <c r="L15" i="13" a="1"/>
  <c r="L15" i="13"/>
  <c r="L16" i="13" a="1"/>
  <c r="L16" i="13"/>
  <c r="L17" i="13" a="1"/>
  <c r="L17" i="13"/>
  <c r="L18" i="13" a="1"/>
  <c r="L18" i="13"/>
  <c r="L19" i="13" a="1"/>
  <c r="L19" i="13"/>
  <c r="L20" i="13" a="1"/>
  <c r="L20" i="13"/>
  <c r="L21" i="13" a="1"/>
  <c r="L21" i="13"/>
  <c r="L22" i="13" a="1"/>
  <c r="L22" i="13"/>
  <c r="L23" i="13" a="1"/>
  <c r="L23" i="13"/>
  <c r="L24" i="13" a="1"/>
  <c r="L24" i="13"/>
  <c r="L25" i="13" a="1"/>
  <c r="L25" i="13"/>
  <c r="L26" i="13" a="1"/>
  <c r="L26" i="13"/>
  <c r="L27" i="13" a="1"/>
  <c r="L27" i="13"/>
  <c r="L28" i="13" a="1"/>
  <c r="L28" i="13"/>
  <c r="L29" i="13" a="1"/>
  <c r="L29" i="13"/>
  <c r="L30" i="13" a="1"/>
  <c r="L30" i="13"/>
  <c r="L31" i="13" a="1"/>
  <c r="L31" i="13"/>
  <c r="L32" i="13" a="1"/>
  <c r="L32" i="13"/>
  <c r="L33" i="13" a="1"/>
  <c r="L33" i="13"/>
  <c r="L34" i="13" a="1"/>
  <c r="L34" i="13"/>
  <c r="L35" i="13" a="1"/>
  <c r="L35" i="13"/>
  <c r="L36" i="13" a="1"/>
  <c r="L36" i="13"/>
  <c r="L37" i="13" a="1"/>
  <c r="L37" i="13"/>
  <c r="L38" i="13" a="1"/>
  <c r="L38" i="13"/>
  <c r="L39" i="13" a="1"/>
  <c r="L39" i="13"/>
  <c r="L40" i="13" a="1"/>
  <c r="L40" i="13"/>
  <c r="L41" i="13" a="1"/>
  <c r="L41" i="13"/>
  <c r="L42" i="13" a="1"/>
  <c r="L42" i="13"/>
  <c r="L43" i="13" a="1"/>
  <c r="L43" i="13"/>
  <c r="L44" i="13" a="1"/>
  <c r="L44" i="13"/>
  <c r="L45" i="13" a="1"/>
  <c r="L45" i="13"/>
  <c r="L46" i="13" a="1"/>
  <c r="L46" i="13"/>
  <c r="L48" i="13" a="1"/>
  <c r="L48" i="13"/>
  <c r="L49" i="13" a="1"/>
  <c r="L49" i="13"/>
  <c r="L50" i="13" a="1"/>
  <c r="L50" i="13"/>
  <c r="L51" i="13" a="1"/>
  <c r="L51" i="13"/>
  <c r="L52" i="13" a="1"/>
  <c r="L52" i="13"/>
  <c r="L53" i="13" a="1"/>
  <c r="L53" i="13"/>
  <c r="L54" i="13" a="1"/>
  <c r="L54" i="13"/>
  <c r="L55" i="13" a="1"/>
  <c r="L55" i="13"/>
  <c r="L56" i="13" a="1"/>
  <c r="L56" i="13"/>
  <c r="L57" i="13" a="1"/>
  <c r="L57" i="13"/>
  <c r="L58" i="13" a="1"/>
  <c r="L58" i="13"/>
  <c r="L59" i="13" a="1"/>
  <c r="L59" i="13"/>
  <c r="L60" i="13" a="1"/>
  <c r="L60" i="13"/>
  <c r="L61" i="13" a="1"/>
  <c r="L61" i="13"/>
  <c r="L62" i="13" a="1"/>
  <c r="L62" i="13"/>
  <c r="L63" i="13" a="1"/>
  <c r="L63" i="13"/>
  <c r="L64" i="13" a="1"/>
  <c r="L64" i="13"/>
  <c r="L65" i="13" a="1"/>
  <c r="L65" i="13"/>
  <c r="L66" i="13" a="1"/>
  <c r="L66" i="13"/>
  <c r="L67" i="13" a="1"/>
  <c r="L67" i="13"/>
  <c r="L68" i="13" a="1"/>
  <c r="L68" i="13"/>
  <c r="L69" i="13" a="1"/>
  <c r="L69" i="13"/>
  <c r="L70" i="13" a="1"/>
  <c r="L70" i="13"/>
  <c r="L71" i="13" a="1"/>
  <c r="L71" i="13"/>
  <c r="L72" i="13" a="1"/>
  <c r="L72" i="13"/>
  <c r="L73" i="13" a="1"/>
  <c r="L73" i="13"/>
  <c r="L74" i="13" a="1"/>
  <c r="L74" i="13"/>
  <c r="L75" i="13" a="1"/>
  <c r="L75" i="13"/>
  <c r="L76" i="13" a="1"/>
  <c r="L76" i="13"/>
  <c r="L77" i="13" a="1"/>
  <c r="L77" i="13"/>
  <c r="L78" i="13" a="1"/>
  <c r="L78" i="13"/>
  <c r="L79" i="13" a="1"/>
  <c r="L79" i="13"/>
  <c r="L80" i="13" a="1"/>
  <c r="L80" i="13"/>
  <c r="L81" i="13" a="1"/>
  <c r="L81" i="13"/>
  <c r="L82" i="13" a="1"/>
  <c r="L82" i="13"/>
  <c r="L83" i="13" a="1"/>
  <c r="L83" i="13"/>
  <c r="L85" i="13" a="1"/>
  <c r="L85" i="13"/>
  <c r="L86" i="13" a="1"/>
  <c r="L86" i="13"/>
  <c r="L87" i="13" a="1"/>
  <c r="L87" i="13"/>
  <c r="L88" i="13" a="1"/>
  <c r="L88" i="13"/>
  <c r="L89" i="13" a="1"/>
  <c r="L89" i="13"/>
  <c r="L90" i="13" a="1"/>
  <c r="L90" i="13"/>
  <c r="L91" i="13" a="1"/>
  <c r="L91" i="13"/>
  <c r="L92" i="13" a="1"/>
  <c r="L92" i="13"/>
  <c r="L93" i="13" a="1"/>
  <c r="L93" i="13"/>
  <c r="L94" i="13" a="1"/>
  <c r="L94" i="13"/>
  <c r="L95" i="13" a="1"/>
  <c r="L95" i="13"/>
  <c r="L96" i="13" a="1"/>
  <c r="L96" i="13"/>
  <c r="L97" i="13" a="1"/>
  <c r="L97" i="13"/>
  <c r="L98" i="13" a="1"/>
  <c r="L98" i="13"/>
  <c r="L99" i="13" a="1"/>
  <c r="L99" i="13"/>
  <c r="L100" i="13" a="1"/>
  <c r="L100" i="13"/>
  <c r="L101" i="13" a="1"/>
  <c r="L101" i="13"/>
  <c r="L102" i="13" a="1"/>
  <c r="L102" i="13"/>
  <c r="L103" i="13" a="1"/>
  <c r="L103" i="13"/>
  <c r="L104" i="13" a="1"/>
  <c r="L104" i="13"/>
  <c r="L105" i="13" a="1"/>
  <c r="L105" i="13"/>
  <c r="L106" i="13" a="1"/>
  <c r="L106" i="13"/>
  <c r="L107" i="13" a="1"/>
  <c r="L107" i="13"/>
  <c r="L108" i="13" a="1"/>
  <c r="L108" i="13"/>
  <c r="L109" i="13" a="1"/>
  <c r="L109" i="13"/>
  <c r="L110" i="13" a="1"/>
  <c r="L110" i="13"/>
  <c r="L111" i="13" a="1"/>
  <c r="L111" i="13"/>
  <c r="L112" i="13" a="1"/>
  <c r="L112" i="13"/>
  <c r="L113" i="13" a="1"/>
  <c r="L113" i="13"/>
  <c r="L114" i="13" a="1"/>
  <c r="L114" i="13"/>
  <c r="L116" i="13" a="1"/>
  <c r="L116" i="13"/>
  <c r="L117" i="13" a="1"/>
  <c r="L117" i="13"/>
  <c r="L118" i="13" a="1"/>
  <c r="L118" i="13"/>
  <c r="L119" i="13" a="1"/>
  <c r="L119" i="13"/>
  <c r="L120" i="13" a="1"/>
  <c r="L120" i="13"/>
  <c r="L121" i="13" a="1"/>
  <c r="L121" i="13"/>
  <c r="L122" i="13" a="1"/>
  <c r="L122" i="13"/>
  <c r="L123" i="13" a="1"/>
  <c r="L123" i="13"/>
  <c r="L124" i="13" a="1"/>
  <c r="L124" i="13"/>
  <c r="L125" i="13" a="1"/>
  <c r="L125" i="13"/>
  <c r="L126" i="13" a="1"/>
  <c r="L126" i="13"/>
  <c r="L127" i="13" a="1"/>
  <c r="L127" i="13"/>
  <c r="L128" i="13" a="1"/>
  <c r="L128" i="13"/>
  <c r="L129" i="13" a="1"/>
  <c r="L129" i="13"/>
  <c r="L130" i="13" a="1"/>
  <c r="L130" i="13"/>
  <c r="L131" i="13" a="1"/>
  <c r="L131" i="13"/>
  <c r="L132" i="13" a="1"/>
  <c r="L132" i="13"/>
  <c r="L133" i="13" a="1"/>
  <c r="L133" i="13"/>
  <c r="L134" i="13" a="1"/>
  <c r="L134" i="13"/>
  <c r="L135" i="13" a="1"/>
  <c r="L135" i="13"/>
  <c r="L136" i="13" a="1"/>
  <c r="L136" i="13"/>
  <c r="L137" i="13" a="1"/>
  <c r="L137" i="13"/>
  <c r="L138" i="13" a="1"/>
  <c r="L138" i="13"/>
  <c r="L139" i="13" a="1"/>
  <c r="L139" i="13"/>
  <c r="L140" i="13" a="1"/>
  <c r="L140" i="13"/>
  <c r="L141" i="13" a="1"/>
  <c r="L141" i="13"/>
  <c r="L142" i="13" a="1"/>
  <c r="L142" i="13"/>
  <c r="L143" i="13" a="1"/>
  <c r="L143" i="13"/>
  <c r="L144" i="13" a="1"/>
  <c r="L144" i="13"/>
  <c r="L145" i="13" a="1"/>
  <c r="L145" i="13"/>
  <c r="L146" i="13" a="1"/>
  <c r="L146" i="13"/>
  <c r="L147" i="13" a="1"/>
  <c r="L147" i="13"/>
  <c r="L148" i="13" a="1"/>
  <c r="L148" i="13"/>
  <c r="L149" i="13" a="1"/>
  <c r="L149" i="13"/>
  <c r="L151" i="13" a="1"/>
  <c r="L151" i="13"/>
  <c r="L152" i="13" a="1"/>
  <c r="L152" i="13"/>
  <c r="L153" i="13" a="1"/>
  <c r="L153" i="13"/>
  <c r="L154" i="13" a="1"/>
  <c r="L154" i="13"/>
  <c r="L155" i="13" a="1"/>
  <c r="L155" i="13"/>
  <c r="L156" i="13" a="1"/>
  <c r="L156" i="13"/>
  <c r="L157" i="13" a="1"/>
  <c r="L157" i="13"/>
  <c r="L158" i="13" a="1"/>
  <c r="L158" i="13"/>
  <c r="L159" i="13" a="1"/>
  <c r="L159" i="13"/>
  <c r="L160" i="13" a="1"/>
  <c r="L160" i="13"/>
  <c r="L161" i="13" a="1"/>
  <c r="L161" i="13"/>
  <c r="L162" i="13" a="1"/>
  <c r="L162" i="13"/>
  <c r="L163" i="13" a="1"/>
  <c r="L163" i="13"/>
  <c r="L164" i="13" a="1"/>
  <c r="L164" i="13"/>
  <c r="L165" i="13" a="1"/>
  <c r="L165" i="13"/>
  <c r="L166" i="13" a="1"/>
  <c r="L166" i="13"/>
  <c r="L167" i="13" a="1"/>
  <c r="L167" i="13"/>
  <c r="L168" i="13" a="1"/>
  <c r="L168" i="13"/>
  <c r="L169" i="13" a="1"/>
  <c r="L169" i="13"/>
  <c r="L170" i="13" a="1"/>
  <c r="L170" i="13"/>
  <c r="L171" i="13" a="1"/>
  <c r="L171" i="13"/>
  <c r="L172" i="13" a="1"/>
  <c r="L172" i="13"/>
  <c r="L173" i="13" a="1"/>
  <c r="L173" i="13"/>
  <c r="L174" i="13" a="1"/>
  <c r="L174" i="13"/>
  <c r="L175" i="13" a="1"/>
  <c r="L175" i="13"/>
  <c r="L176" i="13" a="1"/>
  <c r="L176" i="13"/>
  <c r="L177" i="13" a="1"/>
  <c r="L177" i="13"/>
  <c r="L178" i="13" a="1"/>
  <c r="L178" i="13"/>
  <c r="L179" i="13" a="1"/>
  <c r="L179" i="13"/>
  <c r="L180" i="13" a="1"/>
  <c r="L180" i="13"/>
  <c r="L182" i="13" a="1"/>
  <c r="L182" i="13"/>
  <c r="L183" i="13" a="1"/>
  <c r="L183" i="13"/>
  <c r="L184" i="13" a="1"/>
  <c r="L184" i="13"/>
  <c r="L185" i="13" a="1"/>
  <c r="L185" i="13"/>
  <c r="L186" i="13" a="1"/>
  <c r="L186" i="13"/>
  <c r="L187" i="13" a="1"/>
  <c r="L187" i="13"/>
  <c r="L188" i="13" a="1"/>
  <c r="L188" i="13"/>
  <c r="L189" i="13" a="1"/>
  <c r="L189" i="13"/>
  <c r="L190" i="13" a="1"/>
  <c r="L190" i="13"/>
  <c r="L191" i="13" a="1"/>
  <c r="L191" i="13"/>
  <c r="L192" i="13" a="1"/>
  <c r="L192" i="13"/>
  <c r="L193" i="13" a="1"/>
  <c r="L193" i="13"/>
  <c r="L194" i="13" a="1"/>
  <c r="L194" i="13"/>
  <c r="L195" i="13" a="1"/>
  <c r="L195" i="13"/>
  <c r="L196" i="13" a="1"/>
  <c r="L196" i="13"/>
  <c r="L197" i="13" a="1"/>
  <c r="L197" i="13"/>
  <c r="L198" i="13" a="1"/>
  <c r="L198" i="13"/>
  <c r="L199" i="13" a="1"/>
  <c r="L199" i="13"/>
  <c r="L200" i="13" a="1"/>
  <c r="L200" i="13"/>
  <c r="L201" i="13" a="1"/>
  <c r="L201" i="13"/>
  <c r="L202" i="13" a="1"/>
  <c r="L202" i="13"/>
  <c r="L203" i="13" a="1"/>
  <c r="L203" i="13"/>
  <c r="L204" i="13" a="1"/>
  <c r="L204" i="13"/>
  <c r="L205" i="13" a="1"/>
  <c r="L205" i="13"/>
  <c r="L206" i="13" a="1"/>
  <c r="L206" i="13"/>
  <c r="L207" i="13" a="1"/>
  <c r="L207" i="13"/>
  <c r="L208" i="13" a="1"/>
  <c r="L208" i="13"/>
  <c r="L209" i="13" a="1"/>
  <c r="L209" i="13"/>
  <c r="L210" i="13" a="1"/>
  <c r="L210" i="13"/>
  <c r="L211" i="13" a="1"/>
  <c r="L211" i="13"/>
  <c r="L212" i="13" a="1"/>
  <c r="L212" i="13"/>
  <c r="L213" i="13" a="1"/>
  <c r="L213" i="13"/>
  <c r="L214" i="13" a="1"/>
  <c r="L214" i="13"/>
  <c r="L215" i="13" a="1"/>
  <c r="L215" i="13"/>
  <c r="L216" i="13" a="1"/>
  <c r="L216" i="13"/>
  <c r="L217" i="13" a="1"/>
  <c r="L217" i="13"/>
  <c r="L218" i="13" a="1"/>
  <c r="L218" i="13"/>
  <c r="L219" i="13" a="1"/>
  <c r="L219" i="13"/>
  <c r="L220" i="13" a="1"/>
  <c r="L220" i="13"/>
  <c r="L221" i="13" a="1"/>
  <c r="L221" i="13"/>
  <c r="L222" i="13" a="1"/>
  <c r="L222" i="13"/>
  <c r="L223" i="13" a="1"/>
  <c r="L223" i="13"/>
  <c r="L224" i="13" a="1"/>
  <c r="L224" i="13"/>
  <c r="L225" i="13" a="1"/>
  <c r="L225" i="13"/>
  <c r="L226" i="13" a="1"/>
  <c r="L226" i="13"/>
  <c r="L227" i="13" a="1"/>
  <c r="L227" i="13"/>
  <c r="L228" i="13" a="1"/>
  <c r="L228" i="13"/>
  <c r="L229" i="13" a="1"/>
  <c r="L229" i="13"/>
  <c r="L230" i="13" a="1"/>
  <c r="L230" i="13"/>
  <c r="L231" i="13" a="1"/>
  <c r="L231" i="13"/>
  <c r="L232" i="13" a="1"/>
  <c r="L232" i="13"/>
  <c r="L233" i="13" a="1"/>
  <c r="L233" i="13"/>
  <c r="L234" i="13" a="1"/>
  <c r="L234" i="13"/>
  <c r="L235" i="13" a="1"/>
  <c r="L235" i="13"/>
  <c r="L236" i="13" a="1"/>
  <c r="L236" i="13"/>
  <c r="L237" i="13" a="1"/>
  <c r="L237" i="13"/>
  <c r="L238" i="13" a="1"/>
  <c r="L238" i="13"/>
  <c r="L239" i="13" a="1"/>
  <c r="L239" i="13"/>
  <c r="L240" i="13" a="1"/>
  <c r="L240" i="13"/>
  <c r="L241" i="13" a="1"/>
  <c r="L241" i="13"/>
  <c r="L242" i="13" a="1"/>
  <c r="L242" i="13"/>
  <c r="L243" i="13" a="1"/>
  <c r="L243" i="13"/>
  <c r="L244" i="13" a="1"/>
  <c r="L244" i="13"/>
  <c r="L245" i="13" a="1"/>
  <c r="L245" i="13"/>
  <c r="L246" i="13" a="1"/>
  <c r="L246" i="13"/>
  <c r="L247" i="13" a="1"/>
  <c r="L247" i="13"/>
  <c r="L248" i="13" a="1"/>
  <c r="L248" i="13"/>
  <c r="L249" i="13" a="1"/>
  <c r="L249" i="13"/>
  <c r="L250" i="13" a="1"/>
  <c r="L250" i="13"/>
  <c r="L251" i="13" a="1"/>
  <c r="L251" i="13"/>
  <c r="L252" i="13" a="1"/>
  <c r="L252" i="13"/>
  <c r="L253" i="13" a="1"/>
  <c r="L253" i="13"/>
  <c r="L254" i="13" a="1"/>
  <c r="L254" i="13"/>
  <c r="L255" i="13" a="1"/>
  <c r="L255" i="13"/>
  <c r="L256" i="13" a="1"/>
  <c r="L256" i="13"/>
  <c r="L257" i="13" a="1"/>
  <c r="L257" i="13"/>
  <c r="L258" i="13" a="1"/>
  <c r="L258" i="13"/>
  <c r="L259" i="13" a="1"/>
  <c r="L259" i="13"/>
  <c r="L260" i="13" a="1"/>
  <c r="L260" i="13"/>
  <c r="L261" i="13" a="1"/>
  <c r="L261" i="13"/>
  <c r="L262" i="13" a="1"/>
  <c r="L262" i="13"/>
  <c r="L263" i="13" a="1"/>
  <c r="L263" i="13"/>
  <c r="L264" i="13" a="1"/>
  <c r="L264" i="13"/>
  <c r="L265" i="13" a="1"/>
  <c r="L265" i="13"/>
  <c r="L266" i="13" a="1"/>
  <c r="L266" i="13"/>
  <c r="L267" i="13" a="1"/>
  <c r="L267" i="13"/>
  <c r="L269" i="13" a="1"/>
  <c r="L269" i="13"/>
  <c r="L270" i="13" a="1"/>
  <c r="L270" i="13"/>
  <c r="L271" i="13" a="1"/>
  <c r="L271" i="13"/>
  <c r="L272" i="13" a="1"/>
  <c r="L272" i="13"/>
  <c r="L273" i="13" a="1"/>
  <c r="L273" i="13"/>
  <c r="L274" i="13" a="1"/>
  <c r="L274" i="13"/>
  <c r="L275" i="13" a="1"/>
  <c r="L275" i="13"/>
  <c r="L276" i="13" a="1"/>
  <c r="L276" i="13"/>
  <c r="L277" i="13" a="1"/>
  <c r="L277" i="13"/>
  <c r="L278" i="13" a="1"/>
  <c r="L278" i="13"/>
  <c r="L279" i="13" a="1"/>
  <c r="L279" i="13"/>
  <c r="L280" i="13" a="1"/>
  <c r="L280" i="13"/>
  <c r="L281" i="13" a="1"/>
  <c r="L281" i="13"/>
  <c r="L282" i="13" a="1"/>
  <c r="L282" i="13"/>
  <c r="L283" i="13" a="1"/>
  <c r="L283" i="13"/>
  <c r="L284" i="13" a="1"/>
  <c r="L284" i="13"/>
  <c r="L285" i="13" a="1"/>
  <c r="L285" i="13"/>
  <c r="L286" i="13" a="1"/>
  <c r="L286" i="13"/>
  <c r="L287" i="13" a="1"/>
  <c r="L287" i="13"/>
  <c r="L288" i="13" a="1"/>
  <c r="L288" i="13"/>
  <c r="L289" i="13" a="1"/>
  <c r="L289" i="13"/>
  <c r="L290" i="13" a="1"/>
  <c r="L290" i="13"/>
  <c r="L291" i="13" a="1"/>
  <c r="L291" i="13"/>
  <c r="L292" i="13" a="1"/>
  <c r="L292" i="13"/>
  <c r="L293" i="13" a="1"/>
  <c r="L293" i="13"/>
  <c r="L294" i="13" a="1"/>
  <c r="L294" i="13"/>
  <c r="L295" i="13" a="1"/>
  <c r="L295" i="13"/>
  <c r="L296" i="13" a="1"/>
  <c r="L296" i="13"/>
  <c r="L297" i="13" a="1"/>
  <c r="L297" i="13"/>
  <c r="L298" i="13" a="1"/>
  <c r="L298" i="13"/>
  <c r="L299" i="13" a="1"/>
  <c r="L299" i="13"/>
  <c r="L300" i="13" a="1"/>
  <c r="L300" i="13"/>
  <c r="L301" i="13" a="1"/>
  <c r="L301" i="13"/>
  <c r="L302" i="13" a="1"/>
  <c r="L302" i="13"/>
  <c r="L303" i="13" a="1"/>
  <c r="L303" i="13"/>
  <c r="L304" i="13" a="1"/>
  <c r="L304" i="13"/>
  <c r="L305" i="13" a="1"/>
  <c r="L305" i="13"/>
  <c r="L306" i="13" a="1"/>
  <c r="L306" i="13"/>
  <c r="L307" i="13" a="1"/>
  <c r="L307" i="13"/>
  <c r="L308" i="13" a="1"/>
  <c r="L308" i="13"/>
  <c r="L309" i="13" a="1"/>
  <c r="L309" i="13"/>
  <c r="L310" i="13" a="1"/>
  <c r="L310" i="13"/>
  <c r="L311" i="13" a="1"/>
  <c r="L311" i="13"/>
  <c r="L312" i="13" a="1"/>
  <c r="L312" i="13"/>
  <c r="L313" i="13" a="1"/>
  <c r="L313" i="13"/>
  <c r="L316" i="13" a="1"/>
  <c r="L316" i="13"/>
  <c r="L317" i="13" a="1"/>
  <c r="L317" i="13"/>
  <c r="L318" i="13" a="1"/>
  <c r="L318" i="13"/>
  <c r="L319" i="13" a="1"/>
  <c r="L319" i="13"/>
  <c r="L320" i="13" a="1"/>
  <c r="L320" i="13"/>
  <c r="L321" i="13" a="1"/>
  <c r="L321" i="13"/>
  <c r="L322" i="13" a="1"/>
  <c r="L322" i="13"/>
  <c r="L323" i="13" a="1"/>
  <c r="L323" i="13"/>
  <c r="L324" i="13" a="1"/>
  <c r="L324" i="13"/>
  <c r="L325" i="13" a="1"/>
  <c r="L325" i="13"/>
  <c r="L326" i="13" a="1"/>
  <c r="L326" i="13"/>
  <c r="L327" i="13" a="1"/>
  <c r="L327" i="13"/>
  <c r="L328" i="13" a="1"/>
  <c r="L328" i="13"/>
  <c r="L329" i="13" a="1"/>
  <c r="L329" i="13"/>
  <c r="L330" i="13" a="1"/>
  <c r="L330" i="13"/>
  <c r="L331" i="13" a="1"/>
  <c r="L331" i="13"/>
  <c r="L332" i="13" a="1"/>
  <c r="L332" i="13"/>
  <c r="L333" i="13" a="1"/>
  <c r="L333" i="13"/>
  <c r="L334" i="13" a="1"/>
  <c r="L334" i="13"/>
  <c r="L335" i="13" a="1"/>
  <c r="L335" i="13"/>
  <c r="L336" i="13" a="1"/>
  <c r="L336" i="13"/>
  <c r="L337" i="13" a="1"/>
  <c r="L337" i="13"/>
  <c r="L338" i="13" a="1"/>
  <c r="L338" i="13"/>
  <c r="L339" i="13" a="1"/>
  <c r="L339" i="13"/>
  <c r="L340" i="13" a="1"/>
  <c r="L340" i="13"/>
  <c r="L341" i="13" a="1"/>
  <c r="L341" i="13"/>
  <c r="L342" i="13" a="1"/>
  <c r="L342" i="13"/>
  <c r="L343" i="13" a="1"/>
  <c r="L343" i="13"/>
  <c r="L344" i="13" a="1"/>
  <c r="L344" i="13"/>
  <c r="L345" i="13" a="1"/>
  <c r="L345" i="13"/>
  <c r="L346" i="13" a="1"/>
  <c r="L346" i="13"/>
  <c r="L347" i="13" a="1"/>
  <c r="L347" i="13"/>
  <c r="L348" i="13" a="1"/>
  <c r="L348" i="13"/>
  <c r="L349" i="13" a="1"/>
  <c r="L349" i="13"/>
  <c r="L350" i="13" a="1"/>
  <c r="L350" i="13"/>
  <c r="L351" i="13" a="1"/>
  <c r="L351" i="13"/>
  <c r="L352" i="13" a="1"/>
  <c r="L352" i="13"/>
  <c r="L353" i="13" a="1"/>
  <c r="L353" i="13"/>
  <c r="L354" i="13" a="1"/>
  <c r="L354" i="13"/>
  <c r="L355" i="13" a="1"/>
  <c r="L355" i="13"/>
  <c r="L356" i="13" a="1"/>
  <c r="L356" i="13"/>
  <c r="L357" i="13" a="1"/>
  <c r="L357" i="13"/>
  <c r="L358" i="13" a="1"/>
  <c r="L358" i="13"/>
  <c r="L359" i="13" a="1"/>
  <c r="L359" i="13"/>
  <c r="L2" i="13" a="1"/>
  <c r="L2" i="13"/>
  <c r="T26" i="2"/>
  <c r="T27" i="2"/>
  <c r="T54" i="2"/>
  <c r="F4" i="11"/>
  <c r="F5" i="11"/>
  <c r="F12" i="11"/>
  <c r="F30" i="11"/>
  <c r="F47" i="11"/>
  <c r="T10" i="2"/>
  <c r="J318" i="13" a="1"/>
  <c r="J318" i="13"/>
  <c r="K318" i="13" s="1"/>
  <c r="M318" i="13" s="1"/>
  <c r="N318" i="13" s="1"/>
  <c r="J319" i="13" a="1"/>
  <c r="J319" i="13"/>
  <c r="K319" i="13" s="1"/>
  <c r="M319" i="13" s="1"/>
  <c r="N319" i="13" s="1"/>
  <c r="J320" i="13" a="1"/>
  <c r="J320" i="13"/>
  <c r="K320" i="13" s="1"/>
  <c r="M320" i="13" s="1"/>
  <c r="N320" i="13" s="1"/>
  <c r="J321" i="13" a="1"/>
  <c r="J321" i="13"/>
  <c r="K321" i="13" s="1"/>
  <c r="M321" i="13" s="1"/>
  <c r="N321" i="13" s="1"/>
  <c r="J322" i="13" a="1"/>
  <c r="J322" i="13"/>
  <c r="K322" i="13" s="1"/>
  <c r="M322" i="13" s="1"/>
  <c r="N322" i="13" s="1"/>
  <c r="J323" i="13" a="1"/>
  <c r="J323" i="13"/>
  <c r="K323" i="13" s="1"/>
  <c r="M323" i="13" s="1"/>
  <c r="N323" i="13" s="1"/>
  <c r="J324" i="13" a="1"/>
  <c r="J324" i="13"/>
  <c r="K324" i="13" s="1"/>
  <c r="M324" i="13" s="1"/>
  <c r="N324" i="13" s="1"/>
  <c r="J325" i="13" a="1"/>
  <c r="J325" i="13"/>
  <c r="K325" i="13" s="1"/>
  <c r="M325" i="13" s="1"/>
  <c r="N325" i="13" s="1"/>
  <c r="J326" i="13" a="1"/>
  <c r="J326" i="13"/>
  <c r="K326" i="13" s="1"/>
  <c r="M326" i="13" s="1"/>
  <c r="N326" i="13" s="1"/>
  <c r="J327" i="13" a="1"/>
  <c r="J327" i="13"/>
  <c r="K327" i="13" s="1"/>
  <c r="M327" i="13" s="1"/>
  <c r="N327" i="13" s="1"/>
  <c r="J328" i="13" a="1"/>
  <c r="J328" i="13"/>
  <c r="K328" i="13" s="1"/>
  <c r="M328" i="13" s="1"/>
  <c r="N328" i="13" s="1"/>
  <c r="J329" i="13" a="1"/>
  <c r="J329" i="13"/>
  <c r="K329" i="13" s="1"/>
  <c r="M329" i="13" s="1"/>
  <c r="N329" i="13" s="1"/>
  <c r="J330" i="13" a="1"/>
  <c r="J330" i="13"/>
  <c r="K330" i="13" s="1"/>
  <c r="M330" i="13" s="1"/>
  <c r="N330" i="13" s="1"/>
  <c r="J331" i="13" a="1"/>
  <c r="J331" i="13"/>
  <c r="K331" i="13" s="1"/>
  <c r="M331" i="13" s="1"/>
  <c r="N331" i="13" s="1"/>
  <c r="J332" i="13" a="1"/>
  <c r="J332" i="13"/>
  <c r="K332" i="13" s="1"/>
  <c r="M332" i="13" s="1"/>
  <c r="N332" i="13" s="1"/>
  <c r="J333" i="13" a="1"/>
  <c r="J333" i="13"/>
  <c r="K333" i="13" s="1"/>
  <c r="M333" i="13" s="1"/>
  <c r="N333" i="13" s="1"/>
  <c r="J334" i="13" a="1"/>
  <c r="J334" i="13"/>
  <c r="K334" i="13" s="1"/>
  <c r="M334" i="13" s="1"/>
  <c r="N334" i="13" s="1"/>
  <c r="J335" i="13" a="1"/>
  <c r="J335" i="13"/>
  <c r="K335" i="13" s="1"/>
  <c r="M335" i="13" s="1"/>
  <c r="N335" i="13" s="1"/>
  <c r="J336" i="13" a="1"/>
  <c r="J336" i="13"/>
  <c r="K336" i="13" s="1"/>
  <c r="M336" i="13" s="1"/>
  <c r="N336" i="13" s="1"/>
  <c r="J337" i="13" a="1"/>
  <c r="J337" i="13"/>
  <c r="K337" i="13" s="1"/>
  <c r="M337" i="13" s="1"/>
  <c r="N337" i="13" s="1"/>
  <c r="J338" i="13" a="1"/>
  <c r="J338" i="13"/>
  <c r="K338" i="13" s="1"/>
  <c r="M338" i="13" s="1"/>
  <c r="N338" i="13" s="1"/>
  <c r="J339" i="13" a="1"/>
  <c r="J339" i="13"/>
  <c r="K339" i="13" s="1"/>
  <c r="M339" i="13" s="1"/>
  <c r="N339" i="13" s="1"/>
  <c r="J340" i="13" a="1"/>
  <c r="J340" i="13"/>
  <c r="K340" i="13" s="1"/>
  <c r="M340" i="13" s="1"/>
  <c r="N340" i="13" s="1"/>
  <c r="J341" i="13" a="1"/>
  <c r="J341" i="13"/>
  <c r="K341" i="13" s="1"/>
  <c r="M341" i="13" s="1"/>
  <c r="N341" i="13" s="1"/>
  <c r="J342" i="13" a="1"/>
  <c r="J342" i="13"/>
  <c r="K342" i="13" s="1"/>
  <c r="M342" i="13" s="1"/>
  <c r="N342" i="13" s="1"/>
  <c r="J343" i="13" a="1"/>
  <c r="J343" i="13"/>
  <c r="K343" i="13" s="1"/>
  <c r="M343" i="13" s="1"/>
  <c r="N343" i="13" s="1"/>
  <c r="J344" i="13" a="1"/>
  <c r="J344" i="13"/>
  <c r="K344" i="13" s="1"/>
  <c r="M344" i="13" s="1"/>
  <c r="N344" i="13" s="1"/>
  <c r="J345" i="13" a="1"/>
  <c r="J345" i="13"/>
  <c r="K345" i="13" s="1"/>
  <c r="M345" i="13" s="1"/>
  <c r="N345" i="13" s="1"/>
  <c r="J346" i="13" a="1"/>
  <c r="J346" i="13"/>
  <c r="K346" i="13" s="1"/>
  <c r="M346" i="13" s="1"/>
  <c r="N346" i="13" s="1"/>
  <c r="J347" i="13" a="1"/>
  <c r="J347" i="13"/>
  <c r="K347" i="13" s="1"/>
  <c r="M347" i="13" s="1"/>
  <c r="N347" i="13" s="1"/>
  <c r="J348" i="13" a="1"/>
  <c r="J348" i="13"/>
  <c r="K348" i="13" s="1"/>
  <c r="M348" i="13" s="1"/>
  <c r="N348" i="13" s="1"/>
  <c r="J349" i="13" a="1"/>
  <c r="J349" i="13"/>
  <c r="K349" i="13" s="1"/>
  <c r="M349" i="13" s="1"/>
  <c r="N349" i="13" s="1"/>
  <c r="J350" i="13" a="1"/>
  <c r="J350" i="13"/>
  <c r="K350" i="13" s="1"/>
  <c r="M350" i="13" s="1"/>
  <c r="N350" i="13" s="1"/>
  <c r="J351" i="13" a="1"/>
  <c r="J351" i="13"/>
  <c r="K351" i="13" s="1"/>
  <c r="M351" i="13" s="1"/>
  <c r="N351" i="13" s="1"/>
  <c r="J352" i="13" a="1"/>
  <c r="J352" i="13"/>
  <c r="K352" i="13" s="1"/>
  <c r="M352" i="13" s="1"/>
  <c r="N352" i="13" s="1"/>
  <c r="J353" i="13" a="1"/>
  <c r="J353" i="13"/>
  <c r="K353" i="13" s="1"/>
  <c r="M353" i="13" s="1"/>
  <c r="N353" i="13" s="1"/>
  <c r="J354" i="13" a="1"/>
  <c r="J354" i="13"/>
  <c r="K354" i="13" s="1"/>
  <c r="M354" i="13" s="1"/>
  <c r="N354" i="13" s="1"/>
  <c r="J355" i="13" a="1"/>
  <c r="J355" i="13"/>
  <c r="K355" i="13" s="1"/>
  <c r="M355" i="13" s="1"/>
  <c r="N355" i="13" s="1"/>
  <c r="J356" i="13" a="1"/>
  <c r="J356" i="13"/>
  <c r="K356" i="13" s="1"/>
  <c r="M356" i="13" s="1"/>
  <c r="N356" i="13" s="1"/>
  <c r="J357" i="13" a="1"/>
  <c r="J357" i="13"/>
  <c r="K357" i="13" s="1"/>
  <c r="M357" i="13" s="1"/>
  <c r="N357" i="13" s="1"/>
  <c r="J358" i="13" a="1"/>
  <c r="J358" i="13"/>
  <c r="K358" i="13" s="1"/>
  <c r="M358" i="13" s="1"/>
  <c r="N358" i="13" s="1"/>
  <c r="J359" i="13" a="1"/>
  <c r="J359" i="13"/>
  <c r="K359" i="13" s="1"/>
  <c r="M359" i="13" s="1"/>
  <c r="N359" i="13" s="1"/>
  <c r="J316" i="13" a="1"/>
  <c r="J316" i="13"/>
  <c r="K316" i="13" s="1"/>
  <c r="M316" i="13" s="1"/>
  <c r="N316" i="13" s="1"/>
  <c r="J317" i="13" a="1"/>
  <c r="J317" i="13"/>
  <c r="K317" i="13" s="1"/>
  <c r="M317" i="13" s="1"/>
  <c r="N317" i="13" s="1"/>
  <c r="J315" i="13" a="1"/>
  <c r="J315" i="13"/>
  <c r="K315" i="13" s="1"/>
  <c r="M315" i="13" s="1"/>
  <c r="N315" i="13" s="1"/>
  <c r="J311" i="13" a="1"/>
  <c r="J311" i="13"/>
  <c r="T4" i="2"/>
  <c r="T5" i="2"/>
  <c r="T6" i="2"/>
  <c r="T7" i="2"/>
  <c r="T8" i="2"/>
  <c r="T9" i="2"/>
  <c r="T11" i="2"/>
  <c r="T12" i="2"/>
  <c r="T13" i="2"/>
  <c r="T14" i="2"/>
  <c r="T15" i="2"/>
  <c r="T16" i="2"/>
  <c r="T17" i="2"/>
  <c r="T18" i="2"/>
  <c r="T19" i="2"/>
  <c r="T20" i="2"/>
  <c r="T21" i="2"/>
  <c r="T22" i="2"/>
  <c r="T23" i="2"/>
  <c r="T24" i="2"/>
  <c r="T28" i="2"/>
  <c r="T29" i="2"/>
  <c r="T30" i="2"/>
  <c r="T31" i="2"/>
  <c r="T32" i="2"/>
  <c r="T33" i="2"/>
  <c r="T34" i="2"/>
  <c r="T35" i="2"/>
  <c r="T36" i="2"/>
  <c r="T37" i="2"/>
  <c r="T38" i="2"/>
  <c r="T39" i="2"/>
  <c r="T40" i="2"/>
  <c r="T41" i="2"/>
  <c r="T42" i="2"/>
  <c r="T43" i="2"/>
  <c r="T44" i="2"/>
  <c r="T45" i="2"/>
  <c r="T46" i="2"/>
  <c r="T47" i="2"/>
  <c r="T48" i="2"/>
  <c r="T49" i="2"/>
  <c r="T50" i="2"/>
  <c r="T51" i="2"/>
  <c r="T52" i="2"/>
  <c r="T53" i="2"/>
  <c r="T55" i="2"/>
  <c r="T56" i="2"/>
  <c r="T57" i="2"/>
  <c r="T3" i="2"/>
  <c r="J313" i="13" a="1"/>
  <c r="J313" i="13" s="1"/>
  <c r="K313" i="13" s="1"/>
  <c r="M313" i="13" s="1"/>
  <c r="N313" i="13" s="1"/>
  <c r="J312" i="13" a="1"/>
  <c r="J312" i="13" s="1"/>
  <c r="K312" i="13" s="1"/>
  <c r="M312" i="13" s="1"/>
  <c r="N312" i="13" s="1"/>
  <c r="K311" i="13"/>
  <c r="M311" i="13" s="1"/>
  <c r="N311" i="13" s="1"/>
  <c r="J310" i="13" a="1"/>
  <c r="J310" i="13"/>
  <c r="K310" i="13" s="1"/>
  <c r="M310" i="13" s="1"/>
  <c r="N310" i="13" s="1"/>
  <c r="J309" i="13" a="1"/>
  <c r="J309" i="13" s="1"/>
  <c r="K309" i="13" s="1"/>
  <c r="M309" i="13" s="1"/>
  <c r="N309" i="13" s="1"/>
  <c r="J308" i="13" a="1"/>
  <c r="J308" i="13"/>
  <c r="J307" i="13" a="1"/>
  <c r="J307" i="13" s="1"/>
  <c r="K307" i="13" s="1"/>
  <c r="M307" i="13" s="1"/>
  <c r="N307" i="13" s="1"/>
  <c r="J306" i="13" a="1"/>
  <c r="J306" i="13"/>
  <c r="K306" i="13" s="1"/>
  <c r="M306" i="13" s="1"/>
  <c r="N306" i="13" s="1"/>
  <c r="J305" i="13" a="1"/>
  <c r="J305" i="13"/>
  <c r="K305" i="13" s="1"/>
  <c r="M305" i="13" s="1"/>
  <c r="N305" i="13" s="1"/>
  <c r="J304" i="13" a="1"/>
  <c r="J304" i="13" s="1"/>
  <c r="K304" i="13" s="1"/>
  <c r="M304" i="13" s="1"/>
  <c r="N304" i="13" s="1"/>
  <c r="J303" i="13" a="1"/>
  <c r="J303" i="13" s="1"/>
  <c r="K303" i="13" s="1"/>
  <c r="M303" i="13" s="1"/>
  <c r="N303" i="13" s="1"/>
  <c r="J302" i="13" a="1"/>
  <c r="J302" i="13" s="1"/>
  <c r="K302" i="13" s="1"/>
  <c r="M302" i="13" s="1"/>
  <c r="N302" i="13" s="1"/>
  <c r="J301" i="13" a="1"/>
  <c r="J301" i="13"/>
  <c r="K301" i="13" s="1"/>
  <c r="M301" i="13" s="1"/>
  <c r="N301" i="13" s="1"/>
  <c r="J300" i="13" a="1"/>
  <c r="J300" i="13" s="1"/>
  <c r="K300" i="13" s="1"/>
  <c r="M300" i="13" s="1"/>
  <c r="N300" i="13" s="1"/>
  <c r="J299" i="13" a="1"/>
  <c r="J299" i="13"/>
  <c r="J298" i="13" a="1"/>
  <c r="J298" i="13" s="1"/>
  <c r="K298" i="13" s="1"/>
  <c r="M298" i="13" s="1"/>
  <c r="N298" i="13" s="1"/>
  <c r="J297" i="13" a="1"/>
  <c r="J297" i="13" s="1"/>
  <c r="K297" i="13" s="1"/>
  <c r="M297" i="13" s="1"/>
  <c r="N297" i="13" s="1"/>
  <c r="J296" i="13" a="1"/>
  <c r="J296" i="13"/>
  <c r="J295" i="13" a="1"/>
  <c r="J295" i="13" s="1"/>
  <c r="K295" i="13" s="1"/>
  <c r="M295" i="13" s="1"/>
  <c r="N295" i="13" s="1"/>
  <c r="J294" i="13" a="1"/>
  <c r="J294" i="13"/>
  <c r="K294" i="13" s="1"/>
  <c r="M294" i="13" s="1"/>
  <c r="N294" i="13" s="1"/>
  <c r="J293" i="13" a="1"/>
  <c r="J293" i="13" s="1"/>
  <c r="K293" i="13" s="1"/>
  <c r="M293" i="13" s="1"/>
  <c r="N293" i="13" s="1"/>
  <c r="J292" i="13" a="1"/>
  <c r="J292" i="13" s="1"/>
  <c r="K292" i="13" s="1"/>
  <c r="M292" i="13" s="1"/>
  <c r="N292" i="13" s="1"/>
  <c r="J291" i="13" a="1"/>
  <c r="J291" i="13" s="1"/>
  <c r="K291" i="13" s="1"/>
  <c r="J290" i="13" a="1"/>
  <c r="J290" i="13"/>
  <c r="J289" i="13" a="1"/>
  <c r="J289" i="13"/>
  <c r="K289" i="13" s="1"/>
  <c r="M289" i="13" s="1"/>
  <c r="N289" i="13" s="1"/>
  <c r="J288" i="13" a="1"/>
  <c r="J288" i="13" s="1"/>
  <c r="K288" i="13" s="1"/>
  <c r="M288" i="13" s="1"/>
  <c r="N288" i="13" s="1"/>
  <c r="J287" i="13" a="1"/>
  <c r="J287" i="13" s="1"/>
  <c r="K287" i="13" s="1"/>
  <c r="M287" i="13" s="1"/>
  <c r="N287" i="13" s="1"/>
  <c r="J286" i="13" a="1"/>
  <c r="J286" i="13" s="1"/>
  <c r="K286" i="13" s="1"/>
  <c r="M286" i="13" s="1"/>
  <c r="N286" i="13" s="1"/>
  <c r="J285" i="13" a="1"/>
  <c r="J285" i="13"/>
  <c r="K285" i="13" s="1"/>
  <c r="M285" i="13" s="1"/>
  <c r="N285" i="13" s="1"/>
  <c r="J284" i="13" a="1"/>
  <c r="J284" i="13"/>
  <c r="K284" i="13" s="1"/>
  <c r="M284" i="13" s="1"/>
  <c r="N284" i="13" s="1"/>
  <c r="J283" i="13" a="1"/>
  <c r="J283" i="13" s="1"/>
  <c r="K283" i="13" s="1"/>
  <c r="M283" i="13" s="1"/>
  <c r="N283" i="13" s="1"/>
  <c r="J282" i="13" a="1"/>
  <c r="J282" i="13" s="1"/>
  <c r="K282" i="13" s="1"/>
  <c r="J281" i="13" a="1"/>
  <c r="J281" i="13"/>
  <c r="K281" i="13" s="1"/>
  <c r="J280" i="13" a="1"/>
  <c r="J280" i="13"/>
  <c r="K280" i="13" s="1"/>
  <c r="M280" i="13" s="1"/>
  <c r="N280" i="13" s="1"/>
  <c r="J279" i="13" a="1"/>
  <c r="J279" i="13"/>
  <c r="K279" i="13" s="1"/>
  <c r="M279" i="13" s="1"/>
  <c r="N279" i="13" s="1"/>
  <c r="J278" i="13" a="1"/>
  <c r="J278" i="13" s="1"/>
  <c r="K278" i="13" s="1"/>
  <c r="M278" i="13" s="1"/>
  <c r="N278" i="13" s="1"/>
  <c r="J277" i="13" a="1"/>
  <c r="J277" i="13" s="1"/>
  <c r="K277" i="13" s="1"/>
  <c r="J276" i="13" a="1"/>
  <c r="J276" i="13"/>
  <c r="K276" i="13" s="1"/>
  <c r="M276" i="13" s="1"/>
  <c r="N276" i="13" s="1"/>
  <c r="J275" i="13" a="1"/>
  <c r="J275" i="13"/>
  <c r="K275" i="13" s="1"/>
  <c r="M275" i="13" s="1"/>
  <c r="N275" i="13" s="1"/>
  <c r="J274" i="13" a="1"/>
  <c r="J274" i="13"/>
  <c r="K274" i="13" s="1"/>
  <c r="M274" i="13" s="1"/>
  <c r="N274" i="13" s="1"/>
  <c r="J273" i="13" a="1"/>
  <c r="J273" i="13" s="1"/>
  <c r="K273" i="13" s="1"/>
  <c r="J272" i="13" a="1"/>
  <c r="J272" i="13" s="1"/>
  <c r="K272" i="13" s="1"/>
  <c r="J271" i="13" a="1"/>
  <c r="J271" i="13"/>
  <c r="K271" i="13" s="1"/>
  <c r="J270" i="13" a="1"/>
  <c r="J270" i="13"/>
  <c r="K270" i="13" s="1"/>
  <c r="M270" i="13" s="1"/>
  <c r="N270" i="13" s="1"/>
  <c r="J269" i="13" a="1"/>
  <c r="J269" i="13"/>
  <c r="K269" i="13"/>
  <c r="M269" i="13" s="1"/>
  <c r="N269" i="13" s="1"/>
  <c r="K290" i="13"/>
  <c r="K296" i="13"/>
  <c r="M296" i="13" s="1"/>
  <c r="N296" i="13" s="1"/>
  <c r="K299" i="13"/>
  <c r="K308" i="13"/>
  <c r="M308" i="13" l="1"/>
  <c r="N308" i="13" s="1"/>
  <c r="M291" i="13"/>
  <c r="N291" i="13" s="1"/>
  <c r="M290" i="13"/>
  <c r="N290" i="13" s="1"/>
  <c r="M281" i="13"/>
  <c r="N281" i="13" s="1"/>
  <c r="M282" i="13"/>
  <c r="N282" i="13" s="1"/>
  <c r="M277" i="13"/>
  <c r="N277" i="13" s="1"/>
  <c r="M299" i="13"/>
  <c r="N299" i="13" s="1"/>
  <c r="M271" i="13"/>
  <c r="N271" i="13" s="1"/>
  <c r="M272" i="13"/>
  <c r="N272" i="13" s="1"/>
  <c r="M273" i="13"/>
  <c r="N273" i="13" s="1"/>
  <c r="J267" i="13" a="1"/>
  <c r="J267" i="13" s="1"/>
  <c r="K267" i="13" s="1"/>
  <c r="J189" i="13" a="1"/>
  <c r="J189" i="13" s="1"/>
  <c r="J185" i="13" a="1"/>
  <c r="J185" i="13" s="1"/>
  <c r="K185" i="13" s="1"/>
  <c r="J186" i="13" a="1"/>
  <c r="J186" i="13" s="1"/>
  <c r="K186" i="13" s="1"/>
  <c r="J187" i="13" a="1"/>
  <c r="J187" i="13" s="1"/>
  <c r="K187" i="13" s="1"/>
  <c r="J188" i="13" a="1"/>
  <c r="J188" i="13" s="1"/>
  <c r="K188" i="13" s="1"/>
  <c r="J190" i="13" a="1"/>
  <c r="J190" i="13" s="1"/>
  <c r="K190" i="13" s="1"/>
  <c r="J191" i="13" a="1"/>
  <c r="J191" i="13" s="1"/>
  <c r="K191" i="13" s="1"/>
  <c r="J192" i="13" a="1"/>
  <c r="J192" i="13" s="1"/>
  <c r="K192" i="13" s="1"/>
  <c r="J196" i="13" a="1"/>
  <c r="J196" i="13" s="1"/>
  <c r="K196" i="13" s="1"/>
  <c r="J193" i="13" a="1"/>
  <c r="J193" i="13" s="1"/>
  <c r="K193" i="13" s="1"/>
  <c r="J194" i="13" a="1"/>
  <c r="J194" i="13" s="1"/>
  <c r="K194" i="13" s="1"/>
  <c r="J195" i="13" a="1"/>
  <c r="J195" i="13" s="1"/>
  <c r="K195" i="13" s="1"/>
  <c r="J197" i="13" a="1"/>
  <c r="J197" i="13" s="1"/>
  <c r="K197" i="13" s="1"/>
  <c r="J198" i="13" a="1"/>
  <c r="J198" i="13" s="1"/>
  <c r="K198" i="13" s="1"/>
  <c r="J199" i="13" a="1"/>
  <c r="J199" i="13" s="1"/>
  <c r="K199" i="13" s="1"/>
  <c r="J200" i="13" a="1"/>
  <c r="J200" i="13" s="1"/>
  <c r="K200" i="13" s="1"/>
  <c r="J201" i="13" a="1"/>
  <c r="J201" i="13" s="1"/>
  <c r="K201" i="13" s="1"/>
  <c r="J202" i="13" a="1"/>
  <c r="J202" i="13" s="1"/>
  <c r="K202" i="13" s="1"/>
  <c r="J203" i="13" a="1"/>
  <c r="J203" i="13" s="1"/>
  <c r="K203" i="13" s="1"/>
  <c r="J204" i="13" a="1"/>
  <c r="J204" i="13" s="1"/>
  <c r="K204" i="13" s="1"/>
  <c r="J205" i="13" a="1"/>
  <c r="J205" i="13" s="1"/>
  <c r="K205" i="13" s="1"/>
  <c r="J206" i="13" a="1"/>
  <c r="J206" i="13" s="1"/>
  <c r="K206" i="13" s="1"/>
  <c r="J207" i="13" a="1"/>
  <c r="J207" i="13" s="1"/>
  <c r="K207" i="13" s="1"/>
  <c r="J208" i="13" a="1"/>
  <c r="J208" i="13" s="1"/>
  <c r="K208" i="13" s="1"/>
  <c r="J209" i="13" a="1"/>
  <c r="J209" i="13" s="1"/>
  <c r="K209" i="13" s="1"/>
  <c r="J210" i="13" a="1"/>
  <c r="J210" i="13" s="1"/>
  <c r="K210" i="13" s="1"/>
  <c r="J211" i="13" a="1"/>
  <c r="J211" i="13" s="1"/>
  <c r="K211" i="13" s="1"/>
  <c r="J212" i="13" a="1"/>
  <c r="J212" i="13" s="1"/>
  <c r="K212" i="13" s="1"/>
  <c r="J213" i="13" a="1"/>
  <c r="J213" i="13" s="1"/>
  <c r="K213" i="13" s="1"/>
  <c r="J214" i="13" a="1"/>
  <c r="J214" i="13" s="1"/>
  <c r="K214" i="13" s="1"/>
  <c r="J215" i="13" a="1"/>
  <c r="J215" i="13" s="1"/>
  <c r="K215" i="13" s="1"/>
  <c r="J216" i="13" a="1"/>
  <c r="J216" i="13" s="1"/>
  <c r="K216" i="13" s="1"/>
  <c r="J217" i="13" a="1"/>
  <c r="J217" i="13" s="1"/>
  <c r="K217" i="13" s="1"/>
  <c r="J218" i="13" a="1"/>
  <c r="J218" i="13" s="1"/>
  <c r="K218" i="13" s="1"/>
  <c r="J219" i="13" a="1"/>
  <c r="J219" i="13" s="1"/>
  <c r="K219" i="13" s="1"/>
  <c r="J220" i="13" a="1"/>
  <c r="J220" i="13" s="1"/>
  <c r="K220" i="13" s="1"/>
  <c r="J221" i="13" a="1"/>
  <c r="J221" i="13" s="1"/>
  <c r="K221" i="13" s="1"/>
  <c r="J222" i="13" a="1"/>
  <c r="J222" i="13" s="1"/>
  <c r="K222" i="13" s="1"/>
  <c r="J223" i="13" a="1"/>
  <c r="J223" i="13" s="1"/>
  <c r="K223" i="13" s="1"/>
  <c r="J224" i="13" a="1"/>
  <c r="J224" i="13" s="1"/>
  <c r="K224" i="13" s="1"/>
  <c r="J225" i="13" a="1"/>
  <c r="J225" i="13" s="1"/>
  <c r="K225" i="13" s="1"/>
  <c r="J226" i="13" a="1"/>
  <c r="J226" i="13" s="1"/>
  <c r="K226" i="13" s="1"/>
  <c r="J227" i="13" a="1"/>
  <c r="J227" i="13" s="1"/>
  <c r="K227" i="13" s="1"/>
  <c r="J228" i="13" a="1"/>
  <c r="J228" i="13" s="1"/>
  <c r="K228" i="13" s="1"/>
  <c r="J229" i="13" a="1"/>
  <c r="J229" i="13" s="1"/>
  <c r="K229" i="13" s="1"/>
  <c r="J230" i="13" a="1"/>
  <c r="J230" i="13" s="1"/>
  <c r="K230" i="13" s="1"/>
  <c r="J237" i="13" a="1"/>
  <c r="J237" i="13" s="1"/>
  <c r="K237" i="13" s="1"/>
  <c r="J231" i="13" a="1"/>
  <c r="J231" i="13" s="1"/>
  <c r="K231" i="13" s="1"/>
  <c r="J232" i="13" a="1"/>
  <c r="J232" i="13" s="1"/>
  <c r="K232" i="13" s="1"/>
  <c r="J233" i="13" a="1"/>
  <c r="J233" i="13" s="1"/>
  <c r="K233" i="13" s="1"/>
  <c r="J234" i="13" a="1"/>
  <c r="J234" i="13" s="1"/>
  <c r="K234" i="13" s="1"/>
  <c r="J235" i="13" a="1"/>
  <c r="J235" i="13" s="1"/>
  <c r="K235" i="13" s="1"/>
  <c r="J236" i="13" a="1"/>
  <c r="J236" i="13" s="1"/>
  <c r="K236" i="13" s="1"/>
  <c r="J238" i="13" a="1"/>
  <c r="J238" i="13" s="1"/>
  <c r="K238" i="13" s="1"/>
  <c r="J245" i="13" a="1"/>
  <c r="J245" i="13" s="1"/>
  <c r="K245" i="13" s="1"/>
  <c r="J239" i="13" a="1"/>
  <c r="J239" i="13" s="1"/>
  <c r="K239" i="13" s="1"/>
  <c r="J240" i="13" a="1"/>
  <c r="J240" i="13" s="1"/>
  <c r="K240" i="13" s="1"/>
  <c r="J241" i="13" a="1"/>
  <c r="J241" i="13" s="1"/>
  <c r="K241" i="13" s="1"/>
  <c r="J242" i="13" a="1"/>
  <c r="J242" i="13" s="1"/>
  <c r="K242" i="13" s="1"/>
  <c r="J243" i="13" a="1"/>
  <c r="J243" i="13" s="1"/>
  <c r="K243" i="13" s="1"/>
  <c r="J244" i="13" a="1"/>
  <c r="J244" i="13" s="1"/>
  <c r="K244" i="13" s="1"/>
  <c r="J246" i="13" a="1"/>
  <c r="J246" i="13" s="1"/>
  <c r="K246" i="13" s="1"/>
  <c r="J253" i="13" a="1"/>
  <c r="J253" i="13" s="1"/>
  <c r="K253" i="13" s="1"/>
  <c r="J247" i="13" a="1"/>
  <c r="J247" i="13" s="1"/>
  <c r="K247" i="13" s="1"/>
  <c r="J248" i="13" a="1"/>
  <c r="J248" i="13" s="1"/>
  <c r="K248" i="13" s="1"/>
  <c r="J249" i="13" a="1"/>
  <c r="J249" i="13" s="1"/>
  <c r="K249" i="13" s="1"/>
  <c r="J250" i="13" a="1"/>
  <c r="J250" i="13" s="1"/>
  <c r="K250" i="13" s="1"/>
  <c r="J251" i="13" a="1"/>
  <c r="J251" i="13" s="1"/>
  <c r="K251" i="13" s="1"/>
  <c r="J252" i="13" a="1"/>
  <c r="J252" i="13" s="1"/>
  <c r="K252" i="13" s="1"/>
  <c r="J254" i="13" a="1"/>
  <c r="J254" i="13" s="1"/>
  <c r="K254" i="13" s="1"/>
  <c r="J255" i="13" a="1"/>
  <c r="J255" i="13" s="1"/>
  <c r="K255" i="13" s="1"/>
  <c r="J256" i="13" a="1"/>
  <c r="J256" i="13" s="1"/>
  <c r="K256" i="13" s="1"/>
  <c r="J257" i="13" a="1"/>
  <c r="J257" i="13" s="1"/>
  <c r="K257" i="13" s="1"/>
  <c r="J258" i="13" a="1"/>
  <c r="J258" i="13" s="1"/>
  <c r="K258" i="13" s="1"/>
  <c r="J259" i="13" a="1"/>
  <c r="J259" i="13" s="1"/>
  <c r="K259" i="13" s="1"/>
  <c r="J260" i="13" a="1"/>
  <c r="J260" i="13" s="1"/>
  <c r="K260" i="13" s="1"/>
  <c r="J261" i="13" a="1"/>
  <c r="J261" i="13" s="1"/>
  <c r="K261" i="13" s="1"/>
  <c r="J262" i="13" a="1"/>
  <c r="J262" i="13" s="1"/>
  <c r="K262" i="13" s="1"/>
  <c r="J263" i="13" a="1"/>
  <c r="J263" i="13" s="1"/>
  <c r="K263" i="13" s="1"/>
  <c r="J264" i="13" a="1"/>
  <c r="J264" i="13" s="1"/>
  <c r="K264" i="13" s="1"/>
  <c r="J265" i="13" a="1"/>
  <c r="J265" i="13" s="1"/>
  <c r="K265" i="13" s="1"/>
  <c r="J266" i="13" a="1"/>
  <c r="J266" i="13" s="1"/>
  <c r="K266" i="13" s="1"/>
  <c r="J183" i="13" a="1"/>
  <c r="J183" i="13" s="1"/>
  <c r="K183" i="13" s="1"/>
  <c r="J184" i="13" a="1"/>
  <c r="J184" i="13" s="1"/>
  <c r="K184" i="13" s="1"/>
  <c r="J182" i="13" a="1"/>
  <c r="J182" i="13" s="1"/>
  <c r="K182" i="13" s="1"/>
  <c r="J155" i="13" a="1"/>
  <c r="J155" i="13" s="1"/>
  <c r="K155" i="13" s="1"/>
  <c r="J156" i="13" a="1"/>
  <c r="J156" i="13" s="1"/>
  <c r="K156" i="13" s="1"/>
  <c r="J157" i="13" a="1"/>
  <c r="J157" i="13" s="1"/>
  <c r="K157" i="13" s="1"/>
  <c r="J158" i="13" a="1"/>
  <c r="J158" i="13" s="1"/>
  <c r="K158" i="13" s="1"/>
  <c r="J159" i="13" a="1"/>
  <c r="J159" i="13" s="1"/>
  <c r="K159" i="13" s="1"/>
  <c r="J160" i="13" a="1"/>
  <c r="J160" i="13" s="1"/>
  <c r="K160" i="13" s="1"/>
  <c r="J161" i="13" a="1"/>
  <c r="J161" i="13" s="1"/>
  <c r="K161" i="13" s="1"/>
  <c r="J162" i="13" a="1"/>
  <c r="J162" i="13" s="1"/>
  <c r="K162" i="13" s="1"/>
  <c r="J163" i="13" a="1"/>
  <c r="J163" i="13" s="1"/>
  <c r="K163" i="13" s="1"/>
  <c r="J164" i="13" a="1"/>
  <c r="J164" i="13" s="1"/>
  <c r="K164" i="13" s="1"/>
  <c r="J165" i="13" a="1"/>
  <c r="J165" i="13" s="1"/>
  <c r="K165" i="13" s="1"/>
  <c r="J166" i="13" a="1"/>
  <c r="J166" i="13" s="1"/>
  <c r="K166" i="13" s="1"/>
  <c r="J167" i="13" a="1"/>
  <c r="J167" i="13" s="1"/>
  <c r="K167" i="13" s="1"/>
  <c r="J168" i="13" a="1"/>
  <c r="J168" i="13" s="1"/>
  <c r="K168" i="13" s="1"/>
  <c r="J169" i="13" a="1"/>
  <c r="J169" i="13" s="1"/>
  <c r="K169" i="13" s="1"/>
  <c r="J170" i="13" a="1"/>
  <c r="J170" i="13" s="1"/>
  <c r="K170" i="13" s="1"/>
  <c r="J171" i="13" a="1"/>
  <c r="J171" i="13" s="1"/>
  <c r="K171" i="13" s="1"/>
  <c r="J172" i="13" a="1"/>
  <c r="J172" i="13" s="1"/>
  <c r="K172" i="13" s="1"/>
  <c r="J173" i="13" a="1"/>
  <c r="J173" i="13" s="1"/>
  <c r="K173" i="13" s="1"/>
  <c r="J174" i="13" a="1"/>
  <c r="J174" i="13" s="1"/>
  <c r="K174" i="13" s="1"/>
  <c r="J175" i="13" a="1"/>
  <c r="J175" i="13" s="1"/>
  <c r="K175" i="13" s="1"/>
  <c r="J176" i="13" a="1"/>
  <c r="J176" i="13" s="1"/>
  <c r="K176" i="13" s="1"/>
  <c r="J177" i="13" a="1"/>
  <c r="J177" i="13" s="1"/>
  <c r="K177" i="13" s="1"/>
  <c r="J178" i="13" a="1"/>
  <c r="J178" i="13" s="1"/>
  <c r="K178" i="13" s="1"/>
  <c r="J179" i="13" a="1"/>
  <c r="J179" i="13" s="1"/>
  <c r="K179" i="13" s="1"/>
  <c r="J180" i="13" a="1"/>
  <c r="J180" i="13" s="1"/>
  <c r="K180" i="13" s="1"/>
  <c r="J120" i="13" a="1"/>
  <c r="J120" i="13" s="1"/>
  <c r="K121" i="13" s="1"/>
  <c r="J121" i="13" a="1"/>
  <c r="J121" i="13" s="1"/>
  <c r="J122" i="13" a="1"/>
  <c r="J122" i="13" s="1"/>
  <c r="K122" i="13" s="1"/>
  <c r="J123" i="13" a="1"/>
  <c r="J123" i="13" s="1"/>
  <c r="J124" i="13" a="1"/>
  <c r="J124" i="13" s="1"/>
  <c r="J125" i="13" a="1"/>
  <c r="J125" i="13" s="1"/>
  <c r="J126" i="13" a="1"/>
  <c r="J126" i="13" s="1"/>
  <c r="K127" i="13" s="1"/>
  <c r="J127" i="13" a="1"/>
  <c r="J127" i="13" s="1"/>
  <c r="J128" i="13" a="1"/>
  <c r="J128" i="13" s="1"/>
  <c r="J129" i="13" a="1"/>
  <c r="J129" i="13" s="1"/>
  <c r="J130" i="13" a="1"/>
  <c r="J130" i="13" s="1"/>
  <c r="J131" i="13" a="1"/>
  <c r="J131" i="13" s="1"/>
  <c r="J132" i="13" a="1"/>
  <c r="J132" i="13" s="1"/>
  <c r="J133" i="13" a="1"/>
  <c r="J133" i="13" s="1"/>
  <c r="J134" i="13" a="1"/>
  <c r="J134" i="13" s="1"/>
  <c r="J135" i="13" a="1"/>
  <c r="J135" i="13" s="1"/>
  <c r="J136" i="13" a="1"/>
  <c r="J136" i="13" s="1"/>
  <c r="K137" i="13" s="1"/>
  <c r="J137" i="13" a="1"/>
  <c r="J137" i="13" s="1"/>
  <c r="J138" i="13" a="1"/>
  <c r="J138" i="13" s="1"/>
  <c r="K138" i="13" s="1"/>
  <c r="J139" i="13" a="1"/>
  <c r="J139" i="13" s="1"/>
  <c r="J140" i="13" a="1"/>
  <c r="J140" i="13" s="1"/>
  <c r="K140" i="13" s="1"/>
  <c r="J141" i="13" a="1"/>
  <c r="J141" i="13" s="1"/>
  <c r="J142" i="13" a="1"/>
  <c r="J142" i="13" s="1"/>
  <c r="K143" i="13" s="1"/>
  <c r="J143" i="13" a="1"/>
  <c r="J143" i="13" s="1"/>
  <c r="J144" i="13" a="1"/>
  <c r="J144" i="13" s="1"/>
  <c r="K145" i="13" s="1"/>
  <c r="J145" i="13" a="1"/>
  <c r="J145" i="13" s="1"/>
  <c r="J146" i="13" a="1"/>
  <c r="J146" i="13" s="1"/>
  <c r="J147" i="13" a="1"/>
  <c r="J147" i="13" s="1"/>
  <c r="J148" i="13" a="1"/>
  <c r="J148" i="13" s="1"/>
  <c r="J149" i="13" a="1"/>
  <c r="J149" i="13" s="1"/>
  <c r="J151" i="13" a="1"/>
  <c r="J151" i="13" s="1"/>
  <c r="K151" i="13" s="1"/>
  <c r="J152" i="13" a="1"/>
  <c r="J152" i="13"/>
  <c r="K152" i="13" s="1"/>
  <c r="J153" i="13" a="1"/>
  <c r="J153" i="13" s="1"/>
  <c r="K153" i="13" s="1"/>
  <c r="J154" i="13" a="1"/>
  <c r="J154" i="13" s="1"/>
  <c r="K154" i="13" s="1"/>
  <c r="J92" i="13" a="1"/>
  <c r="J92" i="13" s="1"/>
  <c r="K92" i="13" s="1"/>
  <c r="J93" i="13" a="1"/>
  <c r="J93" i="13" s="1"/>
  <c r="K93" i="13" s="1"/>
  <c r="J94" i="13" a="1"/>
  <c r="J94" i="13" s="1"/>
  <c r="K94" i="13" s="1"/>
  <c r="J95" i="13" a="1"/>
  <c r="J95" i="13" s="1"/>
  <c r="K95" i="13" s="1"/>
  <c r="J96" i="13" a="1"/>
  <c r="J96" i="13" s="1"/>
  <c r="K96" i="13" s="1"/>
  <c r="J97" i="13" a="1"/>
  <c r="J97" i="13" s="1"/>
  <c r="K97" i="13" s="1"/>
  <c r="J98" i="13" a="1"/>
  <c r="J98" i="13" s="1"/>
  <c r="K98" i="13" s="1"/>
  <c r="J99" i="13" a="1"/>
  <c r="J99" i="13" s="1"/>
  <c r="K99" i="13" s="1"/>
  <c r="J100" i="13" a="1"/>
  <c r="J100" i="13" s="1"/>
  <c r="K100" i="13" s="1"/>
  <c r="J101" i="13" a="1"/>
  <c r="J101" i="13" s="1"/>
  <c r="K101" i="13" s="1"/>
  <c r="J102" i="13" a="1"/>
  <c r="J102" i="13" s="1"/>
  <c r="K102" i="13" s="1"/>
  <c r="J103" i="13" a="1"/>
  <c r="J103" i="13" s="1"/>
  <c r="K103" i="13" s="1"/>
  <c r="J104" i="13" a="1"/>
  <c r="J104" i="13" s="1"/>
  <c r="K104" i="13" s="1"/>
  <c r="J105" i="13" a="1"/>
  <c r="J105" i="13" s="1"/>
  <c r="K105" i="13" s="1"/>
  <c r="J106" i="13" a="1"/>
  <c r="J106" i="13" s="1"/>
  <c r="K106" i="13" s="1"/>
  <c r="J107" i="13" a="1"/>
  <c r="J107" i="13" s="1"/>
  <c r="K107" i="13" s="1"/>
  <c r="J108" i="13" a="1"/>
  <c r="J108" i="13" s="1"/>
  <c r="K108" i="13" s="1"/>
  <c r="J109" i="13" a="1"/>
  <c r="J109" i="13" s="1"/>
  <c r="K109" i="13" s="1"/>
  <c r="J110" i="13" a="1"/>
  <c r="J110" i="13" s="1"/>
  <c r="K110" i="13" s="1"/>
  <c r="J111" i="13" a="1"/>
  <c r="J111" i="13" s="1"/>
  <c r="K111" i="13" s="1"/>
  <c r="J112" i="13" a="1"/>
  <c r="J112" i="13" s="1"/>
  <c r="K112" i="13" s="1"/>
  <c r="J113" i="13" a="1"/>
  <c r="J113" i="13" s="1"/>
  <c r="K113" i="13" s="1"/>
  <c r="J114" i="13" a="1"/>
  <c r="J114" i="13" s="1"/>
  <c r="K114" i="13" s="1"/>
  <c r="J116" i="13" a="1"/>
  <c r="J116" i="13" s="1"/>
  <c r="K117" i="13" s="1"/>
  <c r="J117" i="13" a="1"/>
  <c r="J117" i="13" s="1"/>
  <c r="J118" i="13" a="1"/>
  <c r="J118" i="13" s="1"/>
  <c r="K118" i="13" s="1"/>
  <c r="J119" i="13" a="1"/>
  <c r="J119" i="13" s="1"/>
  <c r="J85" i="13" a="1"/>
  <c r="J85" i="13" s="1"/>
  <c r="K85" i="13" s="1"/>
  <c r="J86" i="13" a="1"/>
  <c r="J86" i="13" s="1"/>
  <c r="K86" i="13" s="1"/>
  <c r="J87" i="13" a="1"/>
  <c r="J87" i="13" s="1"/>
  <c r="K87" i="13" s="1"/>
  <c r="J88" i="13" a="1"/>
  <c r="J88" i="13" s="1"/>
  <c r="K88" i="13" s="1"/>
  <c r="J89" i="13" a="1"/>
  <c r="J89" i="13" s="1"/>
  <c r="K89" i="13" s="1"/>
  <c r="J90" i="13" a="1"/>
  <c r="J90" i="13" s="1"/>
  <c r="K90" i="13" s="1"/>
  <c r="J91" i="13" a="1"/>
  <c r="J91" i="13" s="1"/>
  <c r="K91" i="13" s="1"/>
  <c r="J55" i="13" a="1"/>
  <c r="J55" i="13" s="1"/>
  <c r="K55" i="13" s="1"/>
  <c r="J56" i="13" a="1"/>
  <c r="J56" i="13" s="1"/>
  <c r="K56" i="13" s="1"/>
  <c r="J57" i="13" a="1"/>
  <c r="J57" i="13" s="1"/>
  <c r="K57" i="13" s="1"/>
  <c r="J58" i="13" a="1"/>
  <c r="J58" i="13" s="1"/>
  <c r="K58" i="13" s="1"/>
  <c r="J59" i="13" a="1"/>
  <c r="J59" i="13" s="1"/>
  <c r="K59" i="13" s="1"/>
  <c r="J60" i="13" a="1"/>
  <c r="J60" i="13" s="1"/>
  <c r="K60" i="13" s="1"/>
  <c r="J61" i="13" a="1"/>
  <c r="J61" i="13" s="1"/>
  <c r="K61" i="13" s="1"/>
  <c r="J62" i="13" a="1"/>
  <c r="J62" i="13" s="1"/>
  <c r="K62" i="13" s="1"/>
  <c r="J63" i="13" a="1"/>
  <c r="J63" i="13" s="1"/>
  <c r="K63" i="13" s="1"/>
  <c r="J64" i="13" a="1"/>
  <c r="J64" i="13" s="1"/>
  <c r="K64" i="13" s="1"/>
  <c r="J65" i="13" a="1"/>
  <c r="J65" i="13" s="1"/>
  <c r="K65" i="13" s="1"/>
  <c r="J66" i="13" a="1"/>
  <c r="J66" i="13" s="1"/>
  <c r="K66" i="13" s="1"/>
  <c r="J67" i="13" a="1"/>
  <c r="J67" i="13" s="1"/>
  <c r="K67" i="13" s="1"/>
  <c r="J68" i="13" a="1"/>
  <c r="J68" i="13" s="1"/>
  <c r="K68" i="13" s="1"/>
  <c r="J69" i="13" a="1"/>
  <c r="J69" i="13" s="1"/>
  <c r="K69" i="13" s="1"/>
  <c r="J70" i="13" a="1"/>
  <c r="J70" i="13" s="1"/>
  <c r="K70" i="13" s="1"/>
  <c r="J71" i="13" a="1"/>
  <c r="J71" i="13" s="1"/>
  <c r="K71" i="13" s="1"/>
  <c r="J72" i="13" a="1"/>
  <c r="J72" i="13" s="1"/>
  <c r="K72" i="13" s="1"/>
  <c r="J73" i="13" a="1"/>
  <c r="J73" i="13" s="1"/>
  <c r="K73" i="13" s="1"/>
  <c r="J74" i="13" a="1"/>
  <c r="J74" i="13" s="1"/>
  <c r="K74" i="13" s="1"/>
  <c r="J75" i="13" a="1"/>
  <c r="J75" i="13" s="1"/>
  <c r="K75" i="13" s="1"/>
  <c r="J76" i="13" a="1"/>
  <c r="J76" i="13" s="1"/>
  <c r="K76" i="13" s="1"/>
  <c r="J77" i="13" a="1"/>
  <c r="J77" i="13" s="1"/>
  <c r="K77" i="13" s="1"/>
  <c r="J78" i="13" a="1"/>
  <c r="J78" i="13" s="1"/>
  <c r="K78" i="13" s="1"/>
  <c r="J79" i="13" a="1"/>
  <c r="J79" i="13" s="1"/>
  <c r="K79" i="13" s="1"/>
  <c r="J80" i="13" a="1"/>
  <c r="J80" i="13" s="1"/>
  <c r="K80" i="13" s="1"/>
  <c r="J81" i="13" a="1"/>
  <c r="J81" i="13" s="1"/>
  <c r="K81" i="13" s="1"/>
  <c r="J82" i="13" a="1"/>
  <c r="J82" i="13" s="1"/>
  <c r="K82" i="13" s="1"/>
  <c r="J83" i="13" a="1"/>
  <c r="J83" i="13" s="1"/>
  <c r="K83" i="13" s="1"/>
  <c r="J48" i="13" a="1"/>
  <c r="J48" i="13" s="1"/>
  <c r="K48" i="13" s="1"/>
  <c r="J49" i="13" a="1"/>
  <c r="J49" i="13" s="1"/>
  <c r="K49" i="13" s="1"/>
  <c r="J50" i="13" a="1"/>
  <c r="J50" i="13" s="1"/>
  <c r="K50" i="13" s="1"/>
  <c r="J51" i="13" a="1"/>
  <c r="J51" i="13" s="1"/>
  <c r="K51" i="13" s="1"/>
  <c r="J52" i="13" a="1"/>
  <c r="J52" i="13" s="1"/>
  <c r="K52" i="13" s="1"/>
  <c r="J53" i="13" a="1"/>
  <c r="J53" i="13" s="1"/>
  <c r="K53" i="13" s="1"/>
  <c r="J54" i="13" a="1"/>
  <c r="J54" i="13" s="1"/>
  <c r="K54" i="13" s="1"/>
  <c r="J3" i="13" a="1"/>
  <c r="J3" i="13" s="1"/>
  <c r="K3" i="13" s="1"/>
  <c r="J4" i="13" a="1"/>
  <c r="J4" i="13" s="1"/>
  <c r="K4" i="13" s="1"/>
  <c r="J5" i="13" a="1"/>
  <c r="J5" i="13" s="1"/>
  <c r="K5" i="13" s="1"/>
  <c r="J6" i="13" a="1"/>
  <c r="J6" i="13" s="1"/>
  <c r="K6" i="13" s="1"/>
  <c r="J7" i="13" a="1"/>
  <c r="J7" i="13" s="1"/>
  <c r="K7" i="13" s="1"/>
  <c r="J8" i="13" a="1"/>
  <c r="J8" i="13" s="1"/>
  <c r="K8" i="13" s="1"/>
  <c r="J9" i="13" a="1"/>
  <c r="J9" i="13" s="1"/>
  <c r="K9" i="13" s="1"/>
  <c r="J10" i="13" a="1"/>
  <c r="J10" i="13" s="1"/>
  <c r="K10" i="13" s="1"/>
  <c r="J11" i="13" a="1"/>
  <c r="J11" i="13" s="1"/>
  <c r="K11" i="13" s="1"/>
  <c r="J12" i="13" a="1"/>
  <c r="J12" i="13" s="1"/>
  <c r="K12" i="13" s="1"/>
  <c r="J13" i="13" a="1"/>
  <c r="J13" i="13" s="1"/>
  <c r="K13" i="13" s="1"/>
  <c r="J14" i="13" a="1"/>
  <c r="J14" i="13" s="1"/>
  <c r="K14" i="13" s="1"/>
  <c r="J15" i="13" a="1"/>
  <c r="J15" i="13" s="1"/>
  <c r="K15" i="13" s="1"/>
  <c r="J16" i="13" a="1"/>
  <c r="J16" i="13" s="1"/>
  <c r="K16" i="13" s="1"/>
  <c r="J17" i="13" a="1"/>
  <c r="J17" i="13" s="1"/>
  <c r="K17" i="13" s="1"/>
  <c r="J18" i="13" a="1"/>
  <c r="J18" i="13" s="1"/>
  <c r="K18" i="13" s="1"/>
  <c r="J19" i="13" a="1"/>
  <c r="J19" i="13" s="1"/>
  <c r="K19" i="13" s="1"/>
  <c r="J20" i="13" a="1"/>
  <c r="J20" i="13" s="1"/>
  <c r="K20" i="13" s="1"/>
  <c r="J21" i="13" a="1"/>
  <c r="J21" i="13" s="1"/>
  <c r="K21" i="13" s="1"/>
  <c r="J22" i="13" a="1"/>
  <c r="J22" i="13" s="1"/>
  <c r="K22" i="13" s="1"/>
  <c r="J23" i="13" a="1"/>
  <c r="J23" i="13" s="1"/>
  <c r="K23" i="13" s="1"/>
  <c r="J24" i="13" a="1"/>
  <c r="J24" i="13" s="1"/>
  <c r="K24" i="13" s="1"/>
  <c r="J25" i="13" a="1"/>
  <c r="J25" i="13" s="1"/>
  <c r="K25" i="13" s="1"/>
  <c r="J26" i="13" a="1"/>
  <c r="J26" i="13" s="1"/>
  <c r="K26" i="13" s="1"/>
  <c r="J27" i="13" a="1"/>
  <c r="J27" i="13" s="1"/>
  <c r="K27" i="13" s="1"/>
  <c r="J28" i="13" a="1"/>
  <c r="J28" i="13" s="1"/>
  <c r="K28" i="13" s="1"/>
  <c r="J29" i="13" a="1"/>
  <c r="J29" i="13" s="1"/>
  <c r="K29" i="13" s="1"/>
  <c r="J30" i="13" a="1"/>
  <c r="J30" i="13" s="1"/>
  <c r="K30" i="13" s="1"/>
  <c r="J31" i="13" a="1"/>
  <c r="J31" i="13" s="1"/>
  <c r="K31" i="13" s="1"/>
  <c r="J32" i="13" a="1"/>
  <c r="J32" i="13" s="1"/>
  <c r="K32" i="13" s="1"/>
  <c r="J33" i="13" a="1"/>
  <c r="J33" i="13" s="1"/>
  <c r="K33" i="13" s="1"/>
  <c r="J34" i="13" a="1"/>
  <c r="J34" i="13" s="1"/>
  <c r="K34" i="13" s="1"/>
  <c r="J35" i="13" a="1"/>
  <c r="J35" i="13" s="1"/>
  <c r="K35" i="13" s="1"/>
  <c r="J36" i="13" a="1"/>
  <c r="J36" i="13" s="1"/>
  <c r="K36" i="13" s="1"/>
  <c r="J37" i="13" a="1"/>
  <c r="J37" i="13" s="1"/>
  <c r="K37" i="13" s="1"/>
  <c r="J38" i="13" a="1"/>
  <c r="J38" i="13" s="1"/>
  <c r="K38" i="13" s="1"/>
  <c r="J39" i="13" a="1"/>
  <c r="J39" i="13" s="1"/>
  <c r="K39" i="13" s="1"/>
  <c r="J40" i="13" a="1"/>
  <c r="J40" i="13" s="1"/>
  <c r="K40" i="13" s="1"/>
  <c r="J41" i="13" a="1"/>
  <c r="J41" i="13" s="1"/>
  <c r="K41" i="13" s="1"/>
  <c r="J42" i="13" a="1"/>
  <c r="J42" i="13" s="1"/>
  <c r="K42" i="13" s="1"/>
  <c r="J43" i="13" a="1"/>
  <c r="J43" i="13" s="1"/>
  <c r="K43" i="13" s="1"/>
  <c r="J44" i="13" a="1"/>
  <c r="J44" i="13" s="1"/>
  <c r="K44" i="13" s="1"/>
  <c r="J45" i="13" a="1"/>
  <c r="J45" i="13" s="1"/>
  <c r="K45" i="13" s="1"/>
  <c r="J46" i="13" a="1"/>
  <c r="J46" i="13" s="1"/>
  <c r="K46" i="13" s="1"/>
  <c r="J2" i="13" a="1"/>
  <c r="J2" i="13" s="1"/>
  <c r="K2" i="13" s="1"/>
  <c r="D232343" i="2"/>
  <c r="D232342" i="2"/>
  <c r="D232341" i="2"/>
  <c r="D232340" i="2"/>
  <c r="D232339" i="2"/>
  <c r="M40" i="13" l="1"/>
  <c r="N40" i="13" s="1"/>
  <c r="M24" i="13"/>
  <c r="N24" i="13" s="1"/>
  <c r="M73" i="13"/>
  <c r="N73" i="13" s="1"/>
  <c r="M109" i="13"/>
  <c r="N109" i="13" s="1"/>
  <c r="M186" i="13"/>
  <c r="N186" i="13" s="1"/>
  <c r="M96" i="13"/>
  <c r="N96" i="13" s="1"/>
  <c r="M25" i="13"/>
  <c r="N25" i="13" s="1"/>
  <c r="M111" i="13"/>
  <c r="N111" i="13" s="1"/>
  <c r="M23" i="13"/>
  <c r="N23" i="13" s="1"/>
  <c r="M154" i="13"/>
  <c r="N154" i="13" s="1"/>
  <c r="M138" i="13"/>
  <c r="N138" i="13" s="1"/>
  <c r="M161" i="13"/>
  <c r="N161" i="13" s="1"/>
  <c r="M87" i="13"/>
  <c r="N87" i="13" s="1"/>
  <c r="M50" i="13"/>
  <c r="N50" i="13" s="1"/>
  <c r="M60" i="13"/>
  <c r="N60" i="13" s="1"/>
  <c r="M41" i="13"/>
  <c r="N41" i="13" s="1"/>
  <c r="M62" i="13"/>
  <c r="N62" i="13" s="1"/>
  <c r="M101" i="13"/>
  <c r="N101" i="13" s="1"/>
  <c r="M100" i="13"/>
  <c r="N100" i="13" s="1"/>
  <c r="M83" i="13"/>
  <c r="N83" i="13" s="1"/>
  <c r="M98" i="13"/>
  <c r="N98" i="13" s="1"/>
  <c r="M4" i="13"/>
  <c r="N4" i="13" s="1"/>
  <c r="M32" i="13"/>
  <c r="N32" i="13" s="1"/>
  <c r="M56" i="13"/>
  <c r="N56" i="13" s="1"/>
  <c r="M85" i="13"/>
  <c r="N85" i="13" s="1"/>
  <c r="M33" i="13"/>
  <c r="N33" i="13" s="1"/>
  <c r="M19" i="13"/>
  <c r="N19" i="13" s="1"/>
  <c r="M102" i="13"/>
  <c r="N102" i="13" s="1"/>
  <c r="M31" i="13"/>
  <c r="N31" i="13" s="1"/>
  <c r="M80" i="13"/>
  <c r="N80" i="13" s="1"/>
  <c r="M112" i="13"/>
  <c r="N112" i="13" s="1"/>
  <c r="M159" i="13"/>
  <c r="N159" i="13" s="1"/>
  <c r="M170" i="13"/>
  <c r="N170" i="13" s="1"/>
  <c r="M10" i="13"/>
  <c r="N10" i="13" s="1"/>
  <c r="M45" i="13"/>
  <c r="N45" i="13" s="1"/>
  <c r="M44" i="13"/>
  <c r="N44" i="13" s="1"/>
  <c r="M90" i="13"/>
  <c r="N90" i="13" s="1"/>
  <c r="M99" i="13"/>
  <c r="N99" i="13" s="1"/>
  <c r="M43" i="13"/>
  <c r="N43" i="13" s="1"/>
  <c r="M42" i="13"/>
  <c r="N42" i="13" s="1"/>
  <c r="M21" i="13"/>
  <c r="N21" i="13" s="1"/>
  <c r="M20" i="13"/>
  <c r="N20" i="13" s="1"/>
  <c r="M30" i="13"/>
  <c r="N30" i="13" s="1"/>
  <c r="M65" i="13"/>
  <c r="N65" i="13" s="1"/>
  <c r="M89" i="13"/>
  <c r="N89" i="13" s="1"/>
  <c r="M26" i="13"/>
  <c r="N26" i="13" s="1"/>
  <c r="M97" i="13"/>
  <c r="N97" i="13" s="1"/>
  <c r="M76" i="13"/>
  <c r="N76" i="13" s="1"/>
  <c r="M3" i="13"/>
  <c r="N3" i="13" s="1"/>
  <c r="M22" i="13"/>
  <c r="N22" i="13" s="1"/>
  <c r="M74" i="13"/>
  <c r="N74" i="13" s="1"/>
  <c r="M2" i="13"/>
  <c r="N2" i="13" s="1"/>
  <c r="M8" i="13"/>
  <c r="N8" i="13" s="1"/>
  <c r="M171" i="13"/>
  <c r="N171" i="13" s="1"/>
  <c r="M152" i="13"/>
  <c r="N152" i="13" s="1"/>
  <c r="M118" i="13"/>
  <c r="N118" i="13" s="1"/>
  <c r="M17" i="13"/>
  <c r="N17" i="13" s="1"/>
  <c r="M93" i="13"/>
  <c r="N93" i="13" s="1"/>
  <c r="M16" i="13"/>
  <c r="N16" i="13" s="1"/>
  <c r="M92" i="13"/>
  <c r="N92" i="13" s="1"/>
  <c r="M27" i="13"/>
  <c r="N27" i="13" s="1"/>
  <c r="M151" i="13"/>
  <c r="N151" i="13" s="1"/>
  <c r="M6" i="13"/>
  <c r="N6" i="13" s="1"/>
  <c r="M145" i="13"/>
  <c r="N145" i="13" s="1"/>
  <c r="M78" i="13"/>
  <c r="N78" i="13" s="1"/>
  <c r="K136" i="13"/>
  <c r="M136" i="13" s="1"/>
  <c r="N136" i="13" s="1"/>
  <c r="M155" i="13"/>
  <c r="N155" i="13" s="1"/>
  <c r="M39" i="13"/>
  <c r="N39" i="13" s="1"/>
  <c r="M75" i="13"/>
  <c r="N75" i="13" s="1"/>
  <c r="M137" i="13"/>
  <c r="N137" i="13" s="1"/>
  <c r="M168" i="13"/>
  <c r="N168" i="13" s="1"/>
  <c r="K126" i="13"/>
  <c r="M126" i="13" s="1"/>
  <c r="N126" i="13" s="1"/>
  <c r="M91" i="13"/>
  <c r="N91" i="13" s="1"/>
  <c r="M169" i="13"/>
  <c r="N169" i="13" s="1"/>
  <c r="M18" i="13"/>
  <c r="N18" i="13" s="1"/>
  <c r="M113" i="13"/>
  <c r="N113" i="13" s="1"/>
  <c r="K124" i="13"/>
  <c r="M124" i="13" s="1"/>
  <c r="N124" i="13" s="1"/>
  <c r="K125" i="13"/>
  <c r="M125" i="13" s="1"/>
  <c r="N125" i="13" s="1"/>
  <c r="M95" i="13"/>
  <c r="N95" i="13" s="1"/>
  <c r="M94" i="13"/>
  <c r="N94" i="13" s="1"/>
  <c r="M81" i="13"/>
  <c r="N81" i="13" s="1"/>
  <c r="M140" i="13"/>
  <c r="N140" i="13" s="1"/>
  <c r="M7" i="13"/>
  <c r="N7" i="13" s="1"/>
  <c r="M165" i="13"/>
  <c r="N165" i="13" s="1"/>
  <c r="M9" i="13"/>
  <c r="N9" i="13" s="1"/>
  <c r="M49" i="13"/>
  <c r="N49" i="13" s="1"/>
  <c r="M48" i="13"/>
  <c r="N48" i="13" s="1"/>
  <c r="M29" i="13"/>
  <c r="N29" i="13" s="1"/>
  <c r="M59" i="13"/>
  <c r="N59" i="13" s="1"/>
  <c r="M15" i="13"/>
  <c r="N15" i="13" s="1"/>
  <c r="M58" i="13"/>
  <c r="N58" i="13" s="1"/>
  <c r="M163" i="13"/>
  <c r="N163" i="13" s="1"/>
  <c r="M82" i="13"/>
  <c r="N82" i="13" s="1"/>
  <c r="M51" i="13"/>
  <c r="N51" i="13" s="1"/>
  <c r="M156" i="13"/>
  <c r="N156" i="13" s="1"/>
  <c r="M5" i="13"/>
  <c r="N5" i="13" s="1"/>
  <c r="M173" i="13"/>
  <c r="N173" i="13" s="1"/>
  <c r="M37" i="13"/>
  <c r="N37" i="13" s="1"/>
  <c r="M36" i="13"/>
  <c r="N36" i="13" s="1"/>
  <c r="M122" i="13"/>
  <c r="N122" i="13" s="1"/>
  <c r="M38" i="13"/>
  <c r="N38" i="13" s="1"/>
  <c r="K142" i="13"/>
  <c r="M142" i="13" s="1"/>
  <c r="N142" i="13" s="1"/>
  <c r="M61" i="13"/>
  <c r="N61" i="13" s="1"/>
  <c r="M172" i="13"/>
  <c r="N172" i="13" s="1"/>
  <c r="M35" i="13"/>
  <c r="N35" i="13" s="1"/>
  <c r="M67" i="13"/>
  <c r="N67" i="13" s="1"/>
  <c r="M104" i="13"/>
  <c r="N104" i="13" s="1"/>
  <c r="K139" i="13"/>
  <c r="M139" i="13" s="1"/>
  <c r="N139" i="13" s="1"/>
  <c r="M153" i="13"/>
  <c r="N153" i="13" s="1"/>
  <c r="M174" i="13"/>
  <c r="N174" i="13" s="1"/>
  <c r="M68" i="13"/>
  <c r="N68" i="13" s="1"/>
  <c r="M162" i="13"/>
  <c r="N162" i="13" s="1"/>
  <c r="M34" i="13"/>
  <c r="N34" i="13" s="1"/>
  <c r="M53" i="13"/>
  <c r="N53" i="13" s="1"/>
  <c r="M77" i="13"/>
  <c r="N77" i="13" s="1"/>
  <c r="M66" i="13"/>
  <c r="N66" i="13" s="1"/>
  <c r="M55" i="13"/>
  <c r="N55" i="13" s="1"/>
  <c r="M117" i="13"/>
  <c r="N117" i="13" s="1"/>
  <c r="M121" i="13"/>
  <c r="N121" i="13" s="1"/>
  <c r="M160" i="13"/>
  <c r="N160" i="13" s="1"/>
  <c r="M267" i="13"/>
  <c r="N267" i="13" s="1"/>
  <c r="M175" i="13"/>
  <c r="N175" i="13" s="1"/>
  <c r="M164" i="13"/>
  <c r="N164" i="13" s="1"/>
  <c r="M14" i="13"/>
  <c r="N14" i="13" s="1"/>
  <c r="M57" i="13"/>
  <c r="N57" i="13" s="1"/>
  <c r="M114" i="13"/>
  <c r="N114" i="13" s="1"/>
  <c r="M86" i="13"/>
  <c r="N86" i="13" s="1"/>
  <c r="M46" i="13"/>
  <c r="N46" i="13" s="1"/>
  <c r="K146" i="13"/>
  <c r="M146" i="13" s="1"/>
  <c r="N146" i="13" s="1"/>
  <c r="K147" i="13"/>
  <c r="M147" i="13" s="1"/>
  <c r="N147" i="13" s="1"/>
  <c r="M28" i="13"/>
  <c r="N28" i="13" s="1"/>
  <c r="M64" i="13"/>
  <c r="N64" i="13" s="1"/>
  <c r="M110" i="13"/>
  <c r="N110" i="13" s="1"/>
  <c r="M180" i="13"/>
  <c r="N180" i="13" s="1"/>
  <c r="M178" i="13"/>
  <c r="N178" i="13" s="1"/>
  <c r="K120" i="13"/>
  <c r="M120" i="13" s="1"/>
  <c r="N120" i="13" s="1"/>
  <c r="M70" i="13"/>
  <c r="N70" i="13" s="1"/>
  <c r="M167" i="13"/>
  <c r="N167" i="13" s="1"/>
  <c r="K119" i="13"/>
  <c r="M119" i="13" s="1"/>
  <c r="N119" i="13" s="1"/>
  <c r="M176" i="13"/>
  <c r="N176" i="13" s="1"/>
  <c r="M103" i="13"/>
  <c r="N103" i="13" s="1"/>
  <c r="K123" i="13"/>
  <c r="M123" i="13" s="1"/>
  <c r="N123" i="13" s="1"/>
  <c r="M179" i="13"/>
  <c r="N179" i="13" s="1"/>
  <c r="M79" i="13"/>
  <c r="N79" i="13" s="1"/>
  <c r="K128" i="13"/>
  <c r="M128" i="13" s="1"/>
  <c r="N128" i="13" s="1"/>
  <c r="K129" i="13"/>
  <c r="M129" i="13" s="1"/>
  <c r="N129" i="13" s="1"/>
  <c r="M71" i="13"/>
  <c r="N71" i="13" s="1"/>
  <c r="M69" i="13"/>
  <c r="N69" i="13" s="1"/>
  <c r="M108" i="13"/>
  <c r="N108" i="13" s="1"/>
  <c r="K148" i="13"/>
  <c r="M148" i="13" s="1"/>
  <c r="N148" i="13" s="1"/>
  <c r="K149" i="13"/>
  <c r="M149" i="13" s="1"/>
  <c r="N149" i="13" s="1"/>
  <c r="M177" i="13"/>
  <c r="N177" i="13" s="1"/>
  <c r="M127" i="13"/>
  <c r="N127" i="13" s="1"/>
  <c r="M166" i="13"/>
  <c r="N166" i="13" s="1"/>
  <c r="K144" i="13"/>
  <c r="M144" i="13" s="1"/>
  <c r="N144" i="13" s="1"/>
  <c r="M107" i="13"/>
  <c r="N107" i="13" s="1"/>
  <c r="M12" i="13"/>
  <c r="N12" i="13" s="1"/>
  <c r="K134" i="13"/>
  <c r="M134" i="13" s="1"/>
  <c r="N134" i="13" s="1"/>
  <c r="K135" i="13"/>
  <c r="M135" i="13" s="1"/>
  <c r="N135" i="13" s="1"/>
  <c r="K116" i="13"/>
  <c r="M116" i="13" s="1"/>
  <c r="N116" i="13" s="1"/>
  <c r="M13" i="13"/>
  <c r="N13" i="13" s="1"/>
  <c r="M54" i="13"/>
  <c r="N54" i="13" s="1"/>
  <c r="M63" i="13"/>
  <c r="N63" i="13" s="1"/>
  <c r="M143" i="13"/>
  <c r="N143" i="13" s="1"/>
  <c r="M106" i="13"/>
  <c r="N106" i="13" s="1"/>
  <c r="K141" i="13"/>
  <c r="M141" i="13" s="1"/>
  <c r="N141" i="13" s="1"/>
  <c r="K132" i="13"/>
  <c r="M132" i="13" s="1"/>
  <c r="N132" i="13" s="1"/>
  <c r="K133" i="13"/>
  <c r="M133" i="13" s="1"/>
  <c r="N133" i="13" s="1"/>
  <c r="M88" i="13"/>
  <c r="N88" i="13" s="1"/>
  <c r="K130" i="13"/>
  <c r="M130" i="13" s="1"/>
  <c r="N130" i="13" s="1"/>
  <c r="K131" i="13"/>
  <c r="M131" i="13" s="1"/>
  <c r="N131" i="13" s="1"/>
  <c r="M72" i="13"/>
  <c r="N72" i="13" s="1"/>
  <c r="M157" i="13"/>
  <c r="N157" i="13" s="1"/>
  <c r="M158" i="13"/>
  <c r="N158" i="13" s="1"/>
  <c r="M11" i="13"/>
  <c r="N11" i="13" s="1"/>
  <c r="M52" i="13"/>
  <c r="N52" i="13" s="1"/>
  <c r="M105" i="13"/>
  <c r="N105" i="13" s="1"/>
  <c r="M183" i="13"/>
  <c r="N183" i="13" s="1"/>
  <c r="M195" i="13"/>
  <c r="N195" i="13" s="1"/>
  <c r="M194" i="13"/>
  <c r="N194" i="13" s="1"/>
  <c r="M216" i="13"/>
  <c r="N216" i="13" s="1"/>
  <c r="M251" i="13"/>
  <c r="N251" i="13" s="1"/>
  <c r="M193" i="13"/>
  <c r="N193" i="13" s="1"/>
  <c r="M264" i="13"/>
  <c r="N264" i="13" s="1"/>
  <c r="M185" i="13"/>
  <c r="N185" i="13" s="1"/>
  <c r="M196" i="13"/>
  <c r="N196" i="13" s="1"/>
  <c r="M187" i="13"/>
  <c r="N187" i="13" s="1"/>
  <c r="M214" i="13"/>
  <c r="N214" i="13" s="1"/>
  <c r="M204" i="13"/>
  <c r="N204" i="13" s="1"/>
  <c r="M222" i="13"/>
  <c r="N222" i="13" s="1"/>
  <c r="M203" i="13"/>
  <c r="N203" i="13" s="1"/>
  <c r="M212" i="13"/>
  <c r="N212" i="13" s="1"/>
  <c r="M202" i="13"/>
  <c r="N202" i="13" s="1"/>
  <c r="M221" i="13"/>
  <c r="N221" i="13" s="1"/>
  <c r="M211" i="13"/>
  <c r="N211" i="13" s="1"/>
  <c r="M184" i="13"/>
  <c r="N184" i="13" s="1"/>
  <c r="M220" i="13"/>
  <c r="N220" i="13" s="1"/>
  <c r="M213" i="13"/>
  <c r="N213" i="13" s="1"/>
  <c r="M248" i="13"/>
  <c r="N248" i="13" s="1"/>
  <c r="M229" i="13"/>
  <c r="N229" i="13" s="1"/>
  <c r="M215" i="13"/>
  <c r="N215" i="13" s="1"/>
  <c r="M250" i="13"/>
  <c r="N250" i="13" s="1"/>
  <c r="M257" i="13"/>
  <c r="N257" i="13" s="1"/>
  <c r="M253" i="13"/>
  <c r="N253" i="13" s="1"/>
  <c r="M228" i="13"/>
  <c r="N228" i="13" s="1"/>
  <c r="M266" i="13"/>
  <c r="N266" i="13" s="1"/>
  <c r="M256" i="13"/>
  <c r="N256" i="13" s="1"/>
  <c r="M236" i="13"/>
  <c r="N236" i="13" s="1"/>
  <c r="M223" i="13"/>
  <c r="N223" i="13" s="1"/>
  <c r="M259" i="13"/>
  <c r="N259" i="13" s="1"/>
  <c r="M265" i="13"/>
  <c r="N265" i="13" s="1"/>
  <c r="M246" i="13"/>
  <c r="N246" i="13" s="1"/>
  <c r="M224" i="13"/>
  <c r="N224" i="13" s="1"/>
  <c r="M260" i="13"/>
  <c r="N260" i="13" s="1"/>
  <c r="M255" i="13"/>
  <c r="N255" i="13" s="1"/>
  <c r="M235" i="13"/>
  <c r="N235" i="13" s="1"/>
  <c r="K189" i="13"/>
  <c r="M189" i="13" s="1"/>
  <c r="N189" i="13" s="1"/>
  <c r="M217" i="13"/>
  <c r="N217" i="13" s="1"/>
  <c r="M252" i="13"/>
  <c r="N252" i="13" s="1"/>
  <c r="M254" i="13"/>
  <c r="N254" i="13" s="1"/>
  <c r="M188" i="13"/>
  <c r="N188" i="13" s="1"/>
  <c r="M225" i="13"/>
  <c r="N225" i="13" s="1"/>
  <c r="M261" i="13"/>
  <c r="N261" i="13" s="1"/>
  <c r="M190" i="13"/>
  <c r="N190" i="13" s="1"/>
  <c r="M226" i="13"/>
  <c r="N226" i="13" s="1"/>
  <c r="M262" i="13"/>
  <c r="N262" i="13" s="1"/>
  <c r="M191" i="13"/>
  <c r="N191" i="13" s="1"/>
  <c r="M227" i="13"/>
  <c r="N227" i="13" s="1"/>
  <c r="M263" i="13"/>
  <c r="N263" i="13" s="1"/>
  <c r="M237" i="13"/>
  <c r="N237" i="13" s="1"/>
  <c r="M231" i="13"/>
  <c r="N231" i="13" s="1"/>
  <c r="M197" i="13"/>
  <c r="N197" i="13" s="1"/>
  <c r="M232" i="13"/>
  <c r="N232" i="13" s="1"/>
  <c r="M198" i="13"/>
  <c r="N198" i="13" s="1"/>
  <c r="M233" i="13"/>
  <c r="N233" i="13" s="1"/>
  <c r="M249" i="13"/>
  <c r="N249" i="13" s="1"/>
  <c r="M199" i="13"/>
  <c r="N199" i="13" s="1"/>
  <c r="M234" i="13"/>
  <c r="N234" i="13" s="1"/>
  <c r="M239" i="13"/>
  <c r="N239" i="13" s="1"/>
  <c r="M192" i="13"/>
  <c r="N192" i="13" s="1"/>
  <c r="M205" i="13"/>
  <c r="N205" i="13" s="1"/>
  <c r="M240" i="13"/>
  <c r="N240" i="13" s="1"/>
  <c r="M230" i="13"/>
  <c r="N230" i="13" s="1"/>
  <c r="M201" i="13"/>
  <c r="N201" i="13" s="1"/>
  <c r="M206" i="13"/>
  <c r="N206" i="13" s="1"/>
  <c r="M241" i="13"/>
  <c r="N241" i="13" s="1"/>
  <c r="M258" i="13"/>
  <c r="N258" i="13" s="1"/>
  <c r="M245" i="13"/>
  <c r="N245" i="13" s="1"/>
  <c r="M210" i="13"/>
  <c r="N210" i="13" s="1"/>
  <c r="M207" i="13"/>
  <c r="N207" i="13" s="1"/>
  <c r="M242" i="13"/>
  <c r="N242" i="13" s="1"/>
  <c r="M247" i="13"/>
  <c r="N247" i="13" s="1"/>
  <c r="M238" i="13"/>
  <c r="N238" i="13" s="1"/>
  <c r="M219" i="13"/>
  <c r="N219" i="13" s="1"/>
  <c r="M200" i="13"/>
  <c r="N200" i="13" s="1"/>
  <c r="M208" i="13"/>
  <c r="N208" i="13" s="1"/>
  <c r="M243" i="13"/>
  <c r="N243" i="13" s="1"/>
  <c r="M209" i="13"/>
  <c r="N209" i="13" s="1"/>
  <c r="M244" i="13"/>
  <c r="N244" i="13" s="1"/>
  <c r="M218" i="13"/>
  <c r="N218" i="13" s="1"/>
  <c r="M182" i="13"/>
  <c r="N182"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<sst xmlns="http://schemas.openxmlformats.org/spreadsheetml/2006/main" count="8006" uniqueCount="2116">
  <si>
    <t>Department</t>
  </si>
  <si>
    <t>Business Process</t>
  </si>
  <si>
    <t>Business Process
Description</t>
  </si>
  <si>
    <t>Asset
Number</t>
  </si>
  <si>
    <t>Information Assets</t>
  </si>
  <si>
    <t>What Are They?</t>
  </si>
  <si>
    <t>Where are They Used?</t>
  </si>
  <si>
    <t>How are They Used?</t>
  </si>
  <si>
    <t>Leave Main Site?</t>
  </si>
  <si>
    <t>How are They Used by Competitors?</t>
  </si>
  <si>
    <t>How are They Used by Customers?</t>
  </si>
  <si>
    <t>Value of Asset ($)</t>
  </si>
  <si>
    <t>CEO</t>
  </si>
  <si>
    <t>Strategic Planning and Execution</t>
  </si>
  <si>
    <t>Formulating strategies, overseeing the implementation of strategic initiatives, and ensuring that the organization’s statregy align with the companies mission and vision</t>
  </si>
  <si>
    <t>A1</t>
  </si>
  <si>
    <t>Corporate Strategy Document</t>
  </si>
  <si>
    <t>Set long-term goals, review market conditions, and align on the company’s strategic direction.</t>
  </si>
  <si>
    <t>Executive teams, board of directors, senior management</t>
  </si>
  <si>
    <t>Guides the organization's long-term goals, mission, and strategic initiatives, ensuring alignment with market trends and corporate vision.</t>
  </si>
  <si>
    <t>Data is safely kept within the system, however results may be accessed from a distance</t>
  </si>
  <si>
    <t>Competitors can analyze strategic direction and identify weaknesses, market gaps, or areas where they can offer better services to gain a competitive edge.</t>
  </si>
  <si>
    <t>Customers do not directly interact, but they benefit through improved services aligned with corporate strategy.</t>
  </si>
  <si>
    <t>A2</t>
  </si>
  <si>
    <t>Board Meeting and Resolution</t>
  </si>
  <si>
    <t>Review decisions made by the board and made sure they are implemented</t>
  </si>
  <si>
    <t>Board of directors, legal, and compliance departments</t>
  </si>
  <si>
    <t>Captures decisions, approvals, and resolutions made by the board, ensuring accountability and governance in the company's strategic direction.</t>
  </si>
  <si>
    <t>Competitors could exploit delays or indecisiveness in board decisions to act faster in market opportunities or strategic partnerships.</t>
  </si>
  <si>
    <t>Customers are indirectly impacted by decisions made at board meetings that shape service delivery, pricing, and quality.</t>
  </si>
  <si>
    <t>A3</t>
  </si>
  <si>
    <t>Regulatory and Approvals Documents</t>
  </si>
  <si>
    <t>Documents and Approvals related to compliance with various regulations, standard and legal requirements</t>
  </si>
  <si>
    <t>Compliance teams, legal departments, government regulators</t>
  </si>
  <si>
    <t>Ensures the organization complies with healthcare industry regulations and secures necessary approvals for operations, clinical trials, and expansions.</t>
  </si>
  <si>
    <t>Competitors can use knowledge of regulatory delays to offer faster, compliant services or use regulatory loopholes to innovate more quickly.</t>
  </si>
  <si>
    <t>Customers indirectly benefit from regulatory compliance, which ensures safety, privacy, and quality in services.</t>
  </si>
  <si>
    <t>Financial Reporting Process</t>
  </si>
  <si>
    <t>Overseeing the company's financial success by overseeing its budget, company financial reports, cash flow statements and resource allocation</t>
  </si>
  <si>
    <t>A4</t>
  </si>
  <si>
    <t>Budget Compliance Reports</t>
  </si>
  <si>
    <t xml:space="preserve">Overview of the company's approved budget, highlighting variances between budgeted and actual expenditures. </t>
  </si>
  <si>
    <t>Finance departments, executive teams, auditors</t>
  </si>
  <si>
    <t>Tracks and ensures spending aligns with approved budgets, monitors cost control, and ensures financial discipline across the organization.</t>
  </si>
  <si>
    <t>Competitors could use inefficiencies revealed by budget reports to highlight their own cost-effective solutions and attract more stockholders or shareholders</t>
  </si>
  <si>
    <t>Customers benefit from improved financial stability and service quality, which may impact pricing and service availability.</t>
  </si>
  <si>
    <t>A5</t>
  </si>
  <si>
    <t>Company Financial Reports</t>
  </si>
  <si>
    <t>Overview of company's financial health performance including profit and loss statements</t>
  </si>
  <si>
    <t>Executive teams, finance departments, investors, auditors</t>
  </si>
  <si>
    <t>Provides insights into the company's overall financial health, including profit and loss, balance sheets, and guides strategic financial decisions.</t>
  </si>
  <si>
    <t>Competitors may use financial data to benchmark against the company and capitalize on any weaknesses by offering more competitive prices.</t>
  </si>
  <si>
    <t>Customers are indirectly impacted through pricing and service offerings shaped by the company’s financial performance.</t>
  </si>
  <si>
    <t>A6</t>
  </si>
  <si>
    <t>Cash Flow Statements</t>
  </si>
  <si>
    <t>Company’s cash inflows and outflows, providing insight into its liquidity position and operational efficiency.</t>
  </si>
  <si>
    <t>Finance departments, executive teams, investors</t>
  </si>
  <si>
    <t>Monitors the inflow and outflow of cash, ensuring liquidity management, investment planning, and financial sustainability.</t>
  </si>
  <si>
    <t>Competitors can exploit cash flow vulnerabilities to outlast the company in terms of liquidity, or use better cash management to gain market share.</t>
  </si>
  <si>
    <t>Customers may benefit from the company’s ability to maintain liquidity and invest in service enhancements.</t>
  </si>
  <si>
    <t>Crisis Management Process</t>
  </si>
  <si>
    <t>Ensure that proper Crisis Management Plan is in place to minimize damage and company can recover quickly.</t>
  </si>
  <si>
    <t>A7</t>
  </si>
  <si>
    <t>Crisis Management Plans</t>
  </si>
  <si>
    <t>Detailed plans for responding to various types of Crisis</t>
  </si>
  <si>
    <t>Executive teams, risk management, legal departments</t>
  </si>
  <si>
    <t>Outlines procedures for responding to crises, ensuring continuity of operations, patient care, and protecting the organization’s reputation during emergencies.</t>
  </si>
  <si>
    <t>Competitors can exploit the company’s weaknesses during crisis by positioning themselves as more resilient or capable of handling similar situations.</t>
  </si>
  <si>
    <t>Customers benefit from quick recovery and minimal disruption in healthcare services during crises.</t>
  </si>
  <si>
    <t>A8</t>
  </si>
  <si>
    <t>Business Continuity Plans</t>
  </si>
  <si>
    <t>Plans ensuring the continutation of business operations during crisis</t>
  </si>
  <si>
    <t>IT departments, operations teams, executive management</t>
  </si>
  <si>
    <t>Ensures that essential healthcare services can continue during disruptions, such as IT outages or natural disasters, maintaining critical functions.</t>
  </si>
  <si>
    <t>Competitors may use superior continuity plans to maintain uninterrupted service during disruptions, gaining customers and improving their reputation.</t>
  </si>
  <si>
    <t>Customers benefit from uninterrupted service delivery and confidence in the company’s resilience.</t>
  </si>
  <si>
    <t>A9</t>
  </si>
  <si>
    <t>Press Releases</t>
  </si>
  <si>
    <t>Pre-drafted statements for immediate release during crisis</t>
  </si>
  <si>
    <t>Public relations, marketing departments, media outlets</t>
  </si>
  <si>
    <t>Communicates key company news, milestones, partnerships, or crisis responses to the public, investors, and stakeholders to manage public perception.</t>
  </si>
  <si>
    <t>Competitors can counter or undermine public messaging, positioning themselves as more innovative, responsive, or reliable in comparison.</t>
  </si>
  <si>
    <t>Customers may use press releases to gauge the company’s credibility, reliability, and service offerings.</t>
  </si>
  <si>
    <t>Corporate Governance Process</t>
  </si>
  <si>
    <t xml:space="preserve">This to ensure the company operates legally and follows all laws in accordance with the regulations. </t>
  </si>
  <si>
    <t>A10</t>
  </si>
  <si>
    <t>Legal Contracts and Repository</t>
  </si>
  <si>
    <t>Database containing all of the companys legal agreeements and contracts</t>
  </si>
  <si>
    <t>Legal departments, executive teams, procurement departments</t>
  </si>
  <si>
    <t>Manages contracts with vendors, partners, and clients, ensuring that legal obligations and business relationships are documented and followed.</t>
  </si>
  <si>
    <t>Competitors can exploit loopholes in contracts or create stronger agreements with partners, leading to more favorable terms or exclusive partnerships.</t>
  </si>
  <si>
    <t>Customers benefit from the stability and reliability that legally sound partnerships and operations provide.</t>
  </si>
  <si>
    <t>A11</t>
  </si>
  <si>
    <t>Governance Policies</t>
  </si>
  <si>
    <t>Documents outlining the structures, roles and responsibilities</t>
  </si>
  <si>
    <t>Compliance departments, board of directors, legal teams</t>
  </si>
  <si>
    <t>Defines ethical standards, corporate governance structures, and regulatory requirements, ensuring compliance with laws and industry standards.</t>
  </si>
  <si>
    <t>Competitors may use lax governance practices to exploit regulatory failures or highlight stronger compliance to attract shareholders.</t>
  </si>
  <si>
    <t>Customers indirectly benefit from the trust, safety, and service quality that stem from strong governance.</t>
  </si>
  <si>
    <t>A12</t>
  </si>
  <si>
    <t>Annual Reports</t>
  </si>
  <si>
    <t>Reports provided to shareholders and the board detailing the company's financial performance strategic achievements</t>
  </si>
  <si>
    <t>Executive teams, investors, regulatory bodies</t>
  </si>
  <si>
    <t>Summarizes the company’s yearly performance, including financial data, business achievements, and future strategies, for shareholders and stakeholders.</t>
  </si>
  <si>
    <t>Competitors can compare performance and use weaknesses in financials or operations to position themselves as stronger in the market.</t>
  </si>
  <si>
    <t>Customers use annual reports to assess the company’s credibility, growth, and future prospects, which may influence their loyalty.</t>
  </si>
  <si>
    <t>Business Development Process</t>
  </si>
  <si>
    <t>This is to ensure the company's ongoing growth by finding new business opportunities and expanding to stay ahead of competitors.</t>
  </si>
  <si>
    <t>A13</t>
  </si>
  <si>
    <t>Business Case Proposals</t>
  </si>
  <si>
    <t>Documents that outline the strategic and financial rationale for pursuing new growth opportunities.</t>
  </si>
  <si>
    <t>Executive teams, project managers, finance departments</t>
  </si>
  <si>
    <t>Outlines the financial and operational benefits of proposed projects, helping the leadership decide on new investments or strategic initiatives.</t>
  </si>
  <si>
    <t>Competitors can learn from failed business cases or slow approvals and move quickly to develop similar initiatives or products more efficiently.</t>
  </si>
  <si>
    <t>Customers benefit from the introduction of new services, improved healthcare offerings, or technological advancements as a result of successful proposals.</t>
  </si>
  <si>
    <t>A14</t>
  </si>
  <si>
    <t>Innovation Pipeline</t>
  </si>
  <si>
    <t xml:space="preserve">A document that tracks potential new services from proposal to implementation. </t>
  </si>
  <si>
    <t>IT departments, executive teams, innovation team</t>
  </si>
  <si>
    <t>Tracks ongoing and future innovation projects, new product development, and technological advancements to maintain the company’s competitive edge.</t>
  </si>
  <si>
    <t>Competitors may monitor the pipeline to develop counter-innovations or disrupt the market with faster-to-market products or services.</t>
  </si>
  <si>
    <t>Customers benefit from the development of innovative services and cutting-edge healthcare solutions.</t>
  </si>
  <si>
    <t>A15</t>
  </si>
  <si>
    <t>Partnership Agreements</t>
  </si>
  <si>
    <t>Legal agreements that formalize partnerships with other organizations and for possible business expansion.</t>
  </si>
  <si>
    <t>Legal departments, business development, executive teams</t>
  </si>
  <si>
    <t>Documents the terms of partnerships with other healthcare organizations, vendors, or research institutions, supporting strategic collaborations.</t>
  </si>
  <si>
    <t>Competitors can disrupt partnerships by offering better terms to vendors or partners, or by forming strategic alliances with key partners first.</t>
  </si>
  <si>
    <t>Customers benefit from enhanced services or access to new treatments or technologies resulting from strategic partnerships.</t>
  </si>
  <si>
    <t>COO</t>
  </si>
  <si>
    <t>Patient registration and intake</t>
  </si>
  <si>
    <t>Collecting patient information, scheduling appointments,
 and managing walk-in patients and services</t>
  </si>
  <si>
    <t>A16</t>
  </si>
  <si>
    <t>Electronic Health Record (EHR)</t>
  </si>
  <si>
    <t>Digital records for patients that include past treatments, diagnoses, medications, and test results</t>
  </si>
  <si>
    <t>At the medical facility, either on-premises database or on cloud servers</t>
  </si>
  <si>
    <t>Provides patient history documents, treatments, medications and ongoing care</t>
  </si>
  <si>
    <t>Although the EHR data does not physically
leave the site, it may be accessed remotely using safe, encrypted networks</t>
  </si>
  <si>
    <t xml:space="preserve">Used to guarantee continuity, improve patient treatment, and stick to legal requirements. </t>
  </si>
  <si>
    <t xml:space="preserve">Patients can access the patient portals to check test results, histories, make follow-up appointments </t>
  </si>
  <si>
    <t>A17</t>
  </si>
  <si>
    <t>Appointment Schedule System</t>
  </si>
  <si>
    <t>Software that facilitates cancellations,
rescheduling, and scheduling</t>
  </si>
  <si>
    <t>Within the IT infrastructure of the clinic on-site or on stored on cloud servers</t>
  </si>
  <si>
    <t>Patients use online portals and front desk staff use them to schedule and manage their appoinments</t>
  </si>
  <si>
    <t>Data is stored on centralized servers but is
accessible from afar by staff interfaces or patient portals</t>
  </si>
  <si>
    <t>Used to ensure effective patient care, minimize wait times and maximize appointment scheduling</t>
  </si>
  <si>
    <t>Patient schedule or manage appointments via mobile apps or web portals</t>
  </si>
  <si>
    <t>Clinical assesment and treatment</t>
  </si>
  <si>
    <t>Managing medical assessments, diagnosing conditions,
administering treatments to patients</t>
  </si>
  <si>
    <t>A18</t>
  </si>
  <si>
    <t>Medical Health Record (MHR)</t>
  </si>
  <si>
    <t>Digital records containing patient
information used during clinical assessments and treatment for healthcare evaluations</t>
  </si>
  <si>
    <t>Hosted in the cloud or centralized servers in the medical facility's data center</t>
  </si>
  <si>
    <t>Clinicians and doctors use it to keep
track of patient information, make treatment decisions, and ensure continuity of care</t>
  </si>
  <si>
    <t>They are safely stored in central systems and
accessed remotely by authorized individuals</t>
  </si>
  <si>
    <t>Utilized by competitors to coordinate patient care across departments,
reduce errors, and streamline clinical processes</t>
  </si>
  <si>
    <t>To keep track of treatment plans, share information with specialists</t>
  </si>
  <si>
    <t>A19</t>
  </si>
  <si>
    <t>Clinic Decision Support System (CDSS)</t>
  </si>
  <si>
    <t>System that offers clinical recommendations based on evidence to help doctors make decisions about diagnosis and theraphy</t>
  </si>
  <si>
    <t>Located in cloud computing platforms or servers connected to clinic's IT network</t>
  </si>
  <si>
    <t>Provides treatment recommendations
by analyzing clinical guidelines, patient data, and medical research</t>
  </si>
  <si>
    <t>Remotely accessible to medical professionals,
yet centrally stored in secure servers</t>
  </si>
  <si>
    <t>Make use of CDSS to decrease misdiagnoses, increase decision-making,
and improve treatment accuracy</t>
  </si>
  <si>
    <t>Patients gain indirect benefits because of CDSS's ability to assist doctors in making better treatment decisions</t>
  </si>
  <si>
    <t>Diagnostic testing and imaging</t>
  </si>
  <si>
    <t>Ordering, conducting and interpreting  diagnostic tests (lab test, imaging) for patient</t>
  </si>
  <si>
    <t>A20</t>
  </si>
  <si>
    <t>Laboratory Information Management System (LIMS)</t>
  </si>
  <si>
    <t>Software platform for tracking samples,
ordering tests, and managing test result in a lab processes.</t>
  </si>
  <si>
    <t>Within the IT infrastructure of the clinic on-site or on a server running in the cloud</t>
  </si>
  <si>
    <t>Test sample, workflow tracking and result storage are all done by technicians using this tools</t>
  </si>
  <si>
    <t>Used to automate lab procedures,
lower mistake rates and speed the diagnosis process</t>
  </si>
  <si>
    <t>Patient can obtain test result quickly by using portal that integrated with LIMS</t>
  </si>
  <si>
    <t>A21</t>
  </si>
  <si>
    <t>Picture Archiving and Communication System (PACS)</t>
  </si>
  <si>
    <t>Medical technology that allows image
from CT scans, MRI, and x-rays to be stored, collected, and shared</t>
  </si>
  <si>
    <t>Servers located in cloud environments or the radiology department</t>
  </si>
  <si>
    <t>To view, preserve, and interpret
diagnostic images, radiologists and doctors use PACS</t>
  </si>
  <si>
    <t>The system is centrally managed, despite
authorized staff members can access images remotely</t>
  </si>
  <si>
    <t>To speed up imaging operations and provide faster access to diagnostic images across facilities</t>
  </si>
  <si>
    <t>Access their diagnostic images and reports via patient portals or during appointments with specialists</t>
  </si>
  <si>
    <t>A22</t>
  </si>
  <si>
    <t>Diagnostic Equipment</t>
  </si>
  <si>
    <t>Machines and devices used for diagnostic testing (lab analyzers, CT scanners, and MRI machines)</t>
  </si>
  <si>
    <t>Located in the clinic's or hospital's
diagnostic departments</t>
  </si>
  <si>
    <t>Located by healthcare professionals to
create patient data and run diagnostic tests</t>
  </si>
  <si>
    <t>The medical facility's equipment is permanent and stays there</t>
  </si>
  <si>
    <t>Use similar equipments to provides diagnostics services, guaranteeing precise and  fast medical outcomes</t>
  </si>
  <si>
    <t>Used to undergo diagnostic tests and the result help inform their treatment and medical care plans</t>
  </si>
  <si>
    <t>Billing and revenue cycle management</t>
  </si>
  <si>
    <t>Processing payments, billing companies, managing claims, and handling patient accounts</t>
  </si>
  <si>
    <t>A23</t>
  </si>
  <si>
    <t>Billing Software</t>
  </si>
  <si>
    <t>Software to manage claims insurers,
processing payments, and creating bills</t>
  </si>
  <si>
    <t>Hosted on-site or in the cloud that
linked to the finance division</t>
  </si>
  <si>
    <t>It is used by financial administrators and
front desk employees to accept patient payments, handle invoices, and track outstanding balances</t>
  </si>
  <si>
    <t>Kept in safe central systems but are accessible  remotely by financial workers</t>
  </si>
  <si>
    <t>To improve cash flow, reduce any errors,
and strealine company financial processes</t>
  </si>
  <si>
    <t>Get invoices and statements, make payments, and manage financial data</t>
  </si>
  <si>
    <t>A24</t>
  </si>
  <si>
    <t>Patient Accounting System</t>
  </si>
  <si>
    <t>Software that keeps track of costs payments, and other financial information related to patients</t>
  </si>
  <si>
    <t>Usually stored on clinical-owned
servers or on cloud-based platforms that are connected to billing software</t>
  </si>
  <si>
    <t>Financial administrators use it to track
revenue, manage patient accounts and settle balances</t>
  </si>
  <si>
    <t>Centralized system securely stored data, which may be viewed remotely</t>
  </si>
  <si>
    <t>To automate revenue cycle management
and improve financial performance</t>
  </si>
  <si>
    <t>Make payments, monitor their
 outstanding balances, and keep track of their financial responsibilities</t>
  </si>
  <si>
    <t xml:space="preserve">Compliance and regulatory reporting </t>
  </si>
  <si>
    <t>Ensure adherence to healthcare regulations such as HIPAA,  generate required reports for regulatory bodies</t>
  </si>
  <si>
    <t>A25</t>
  </si>
  <si>
    <t>Compliance Management System</t>
  </si>
  <si>
    <t>Software that makes sure the healthcare company complies with industry standards, data protection regulations, and legal requirements</t>
  </si>
  <si>
    <t>Under the compliance department's management, maintained on centralized servers or in the cloud</t>
  </si>
  <si>
    <t>Compliance officers track compliance
issues, create reports, and keep an eye on complying regulations using the system</t>
  </si>
  <si>
    <t>The data is safely stored and the system can
be viewed remotely</t>
  </si>
  <si>
    <t>To guarantee regulatory consistency,
reduce legal risk, avoid fines</t>
  </si>
  <si>
    <t>Indirectly as it guarantees that their medical data is handled legally and safely</t>
  </si>
  <si>
    <t>A26</t>
  </si>
  <si>
    <t>Reporting Analytics tools</t>
  </si>
  <si>
    <t>Tools that analyze operational data and generate report for internal and regulatory compliance</t>
  </si>
  <si>
    <t>Hosted on-site or in the cloud, connected to other financial and regulatory systems.</t>
  </si>
  <si>
    <t>These tools are used by compliance and
financial teams for data extraction, trend analysis, and report submission</t>
  </si>
  <si>
    <t>Using similar technologies to analyze operational performance, identify trends, and create regulatory reports</t>
  </si>
  <si>
    <t>Indirectly since the tools guarantee smooth operations and regulatory compliance</t>
  </si>
  <si>
    <t>A27</t>
  </si>
  <si>
    <t>Data encryption and Security System</t>
  </si>
  <si>
    <t>Encryption technology to protect sensitive patient and financial data to prevent unwanted access</t>
  </si>
  <si>
    <t>Utilized in databases, communications, and storage systems, among other systems</t>
  </si>
  <si>
    <t>Data is automatically encrypted to
prevent access without decryption keys</t>
  </si>
  <si>
    <t>Encryption data can be safely sent outside
the site, but the encryption system functions everywhere and is controlled centrally</t>
  </si>
  <si>
    <t>To safeguard data from breaches and
maintain in compliance with regulations</t>
  </si>
  <si>
    <t>Knowing that their financial and health information is safe and complies with data privacy regulations</t>
  </si>
  <si>
    <t>CMO</t>
  </si>
  <si>
    <t>Market Research</t>
  </si>
  <si>
    <t>Involves collecting and analyzing data to understand consumer preferences and market trends.</t>
  </si>
  <si>
    <t>A28</t>
  </si>
  <si>
    <t>Customer Surveys</t>
  </si>
  <si>
    <t>Structured questionnaires or feedback forms used to gather insights from customers about their experiences, preferences, and satisfaction.</t>
  </si>
  <si>
    <t>Typically stored in a customer relationship management (CRM) system or a survey platform like SurveyMonkey or Google Forms, hosted either on-premise or in the cloud.</t>
  </si>
  <si>
    <t>Analyzed to understand customer needs, identify areas for improvement, and guide business decisions.</t>
  </si>
  <si>
    <t>The data may be shared with external agencies for analysis or benchmarking, depending on confidentiality agreements.</t>
  </si>
  <si>
    <t>If obtained, competitors could analyze the feedback to understand customer pain points, preferences, and satisfaction levels with your products or services. They might use this information to enhance their offerings or target your dissatisfied customers.</t>
  </si>
  <si>
    <t>Customers typically do not have access to raw survey data, but they may be informed of the results through reports or communications. This helps them feel heard and valued, and it might influence their perception of the brand.</t>
  </si>
  <si>
    <t>A29</t>
  </si>
  <si>
    <t>Competitive Analysis Reports</t>
  </si>
  <si>
    <t>Documents that provide a detailed evaluation of competitors' strategies, strengths, weaknesses, and market positioning.</t>
  </si>
  <si>
    <t>Stored in a company’s internal knowledge management system or a secure document repository like SharePoint.</t>
  </si>
  <si>
    <t>Used by marketing and strategy teams to refine positioning, product offerings, and marketing strategies.</t>
  </si>
  <si>
    <t>Typically not, as they contain sensitive information, but summaries may be shared with strategic partners or consultants.</t>
  </si>
  <si>
    <t>If competitors gain access, they could learn how your company views them, which could help them adjust their strategies to counteract your plans. It could also expose your business strategies, making your position in the market more vulnerable.</t>
  </si>
  <si>
    <t>Customers are unlikely to have access to these reports. However, any insights derived from such analysis might indirectly affect customers through changes in product offerings, pricing, or marketing messages that better meet their needs.</t>
  </si>
  <si>
    <t>Campaign Development</t>
  </si>
  <si>
    <t>The campaign development process focuses on planning, creating, and executing marketing campaigns to promote products or services effectively.</t>
  </si>
  <si>
    <t>A30</t>
  </si>
  <si>
    <t>Campaign Briefs</t>
  </si>
  <si>
    <t>Documents outlining the objectives, target audience, messaging, budget, and timelines for marketing campaigns.</t>
  </si>
  <si>
    <t>Stored in project management tools like Asana or Trello, or in shared drives like Google Drive or OneDrive.</t>
  </si>
  <si>
    <t>Utilized by creative teams, media planners, and marketers to ensure alignment and consistency across campaigns.</t>
  </si>
  <si>
    <t>Yes, when collaborating with external agencies or freelancers.</t>
  </si>
  <si>
    <t>Competitors could use these briefs to understand your upcoming marketing strategies, target audiences, and key messages. This might enable them to counter your campaigns with their own targeted efforts.</t>
  </si>
  <si>
    <t>Customers usually do not see campaign briefs, but the resulting campaigns directly impact them. These briefs guide the creation of marketing messages and promotions that are designed to resonate with the customer base.</t>
  </si>
  <si>
    <t>A31</t>
  </si>
  <si>
    <t>Creative Assets</t>
  </si>
  <si>
    <t>Visual and multimedia content such as images, videos, graphics, and copy used in marketing campaigns.</t>
  </si>
  <si>
    <t>Housed in digital asset management (DAM) systems or cloud storage services like Dropbox or Adobe Creative Cloud.</t>
  </si>
  <si>
    <t>Employed in various marketing channels like social media, websites, print media, and ads.</t>
  </si>
  <si>
    <t>Frequently, especially when shared with external partners for execution across multiple platforms.</t>
  </si>
  <si>
    <t>If accessed, competitors could copy or adapt creative concepts, potentially diluting the uniqueness of your brand. They might also use this to benchmark their own creative quality.</t>
  </si>
  <si>
    <t>Customers interact with creative assets through advertisements, social media, and other marketing channels. High-quality creative assets enhance customer engagement and brand perception.</t>
  </si>
  <si>
    <t>Brand Management</t>
  </si>
  <si>
    <t>Brand management is the ongoing effort to maintain and enhance a brand's identity and reputation in the market.</t>
  </si>
  <si>
    <t>A32</t>
  </si>
  <si>
    <t>Brand Guidelines</t>
  </si>
  <si>
    <t>Manuals or documents that define the brand’s visual identity, tone of voice, and usage standards.</t>
  </si>
  <si>
    <t>Accessible through internal intranets or shared drives, often in PDF format.</t>
  </si>
  <si>
    <t>Referenced by internal teams and external partners to maintain brand consistency.</t>
  </si>
  <si>
    <t>Yes, when shared with external agencies, designers, and partners.</t>
  </si>
  <si>
    <t>Competitors could use your brand guidelines to mimic or closely align their brand presentation with yours, which might confuse customers or reduce the distinctiveness of your brand.</t>
  </si>
  <si>
    <t>Customers generally don't see the guidelines themselves, but they experience a consistent brand identity across all touchpoints, which can build trust and recognition.</t>
  </si>
  <si>
    <t>A33</t>
  </si>
  <si>
    <t>Social Media Monitoring Tools</t>
  </si>
  <si>
    <t>Software platforms like Hootsuite or Brandwatch used to track and analyze brand mentions, sentiment, and engagement on social media.</t>
  </si>
  <si>
    <t>Cloud-based, accessed via web interfaces.</t>
  </si>
  <si>
    <t>Used by marketing and customer service teams to monitor brand perception, respond to customer inquiries, and measure campaign success.</t>
  </si>
  <si>
    <t>Data might be shared with third-party analytics services or consultants.</t>
  </si>
  <si>
    <t>Competitors could use insights from your social media monitoring to gauge the success of your campaigns and customer sentiment. This could inform their own social media strategies.</t>
  </si>
  <si>
    <t>Customers do not have access to these tools, but the insights gained from them are used to improve customer service, respond to feedback, and engage more effectively with customers on social platforms.</t>
  </si>
  <si>
    <t>Digital Marketing</t>
  </si>
  <si>
    <t>The digital marketing process leverages online channels to engage customers and promote products or services through various strategies.</t>
  </si>
  <si>
    <t>A34</t>
  </si>
  <si>
    <t>Website Analytics</t>
  </si>
  <si>
    <t>Data collected from website interactions, including user behavior, traffic sources, and conversion rates, typically through tools like Google Analytics.</t>
  </si>
  <si>
    <t>Stored in cloud-based analytics platforms.</t>
  </si>
  <si>
    <t>Analyzed by web developers, marketers, and business analysts to optimize website performance and user experience.</t>
  </si>
  <si>
    <t>Reports or insights may be shared with external partners for consultation or benchmarking.</t>
  </si>
  <si>
    <t>If competitors access your website analytics, they could gain insights into your website traffic, user behavior, and conversion rates, allowing them to adjust their digital strategies to compete more effectively.</t>
  </si>
  <si>
    <t>Customers do not use these analytics directly. However, the data is used to optimize website functionality and content, leading to a better user experience for customers.</t>
  </si>
  <si>
    <t>A35</t>
  </si>
  <si>
    <t>Email Marketing Lists</t>
  </si>
  <si>
    <t>Databases of customer and prospect email addresses used for sending marketing communications.</t>
  </si>
  <si>
    <t>Maintained in email marketing platforms like Mailchimp or HubSpot.</t>
  </si>
  <si>
    <t>Used to send newsletters, promotions, and targeted campaigns.</t>
  </si>
  <si>
    <t>Generally not, except when integrated with third-party services for campaign management or analytics.</t>
  </si>
  <si>
    <t>Competitors could use these lists to directly target your customers with competing offers, potentially leading to customer churn.</t>
  </si>
  <si>
    <t>Customers receive emails based on these lists, including newsletters, promotions, and personalized offers. How well these emails are targeted and relevant can significantly impact customer loyalty and engagement.</t>
  </si>
  <si>
    <t>Performance Measurement</t>
  </si>
  <si>
    <t>Performance measurement involves tracking and analyzing the effectiveness of marketing efforts to assess return on investment and guide future strategies.</t>
  </si>
  <si>
    <t>A36</t>
  </si>
  <si>
    <t>Marketing Dashboards</t>
  </si>
  <si>
    <t>Interactive visual displays of key marketing metrics, often built in tools like Tableau or Google Data Studio.</t>
  </si>
  <si>
    <t>Hosted on cloud-based platforms or internal servers, accessible via secure web interfaces.</t>
  </si>
  <si>
    <t>Used by marketing managers and executives to track performance, ROI, and make data-driven decisions.</t>
  </si>
  <si>
    <t>Data might be shared in presentation formats, but dashboards typically remain within the company’s secure environment.</t>
  </si>
  <si>
    <t>Competitors could use insights from these dashboards to understand your marketing performance and ROI, helping them fine-tune their own efforts to outperform you.</t>
  </si>
  <si>
    <t>Customers do not interact with marketing dashboards, but the decisions made based on these dashboards affect the marketing strategies that reach customers, influencing their overall experience with the brand.</t>
  </si>
  <si>
    <t>A37</t>
  </si>
  <si>
    <t>ROI Analysis Reports</t>
  </si>
  <si>
    <t>Detailed reports calculating the return on investment (ROI) of various marketing activities and campaigns.</t>
  </si>
  <si>
    <t>Stored in financial or marketing performance systems, often as spreadsheets or PDF documents.</t>
  </si>
  <si>
    <t>Used by finance and marketing teams to assess the effectiveness of campaigns and justify future budgets.</t>
  </si>
  <si>
    <t>They can be shared with senior management, stakeholders, and sometimes external auditors or consultants.</t>
  </si>
  <si>
    <t>Competitors might use ROI analysis reports to understand the financial success of your marketing efforts, which could help them identify successful strategies to replicate or areas of weakness to exploit.</t>
  </si>
  <si>
    <t>Customers are not directly involved with ROI analysis reports, but the outcomes of these reports may lead to shifts in strategy that improve customer offerings or adjust pricing, ultimately impacting the customer experience.</t>
  </si>
  <si>
    <t>CSO</t>
  </si>
  <si>
    <t>Security Risk Management Process</t>
  </si>
  <si>
    <t>Undertake frequent risk assessments to detect, analyse, and prioritise possible security threats to the organization's information assets, systems, and procedures.</t>
  </si>
  <si>
    <t>A38</t>
  </si>
  <si>
    <t>Risk Assessment Reports</t>
  </si>
  <si>
    <t>Documents outlining identified risks and their impact on the organization</t>
  </si>
  <si>
    <t>Internal meetings, risk management teams</t>
  </si>
  <si>
    <t>For identifying and mitigating potential risks</t>
  </si>
  <si>
    <t>Yes, when shared with consultants or auditors</t>
  </si>
  <si>
    <t>To benchmark their risk processes</t>
  </si>
  <si>
    <t>Not used by customers</t>
  </si>
  <si>
    <t>A39</t>
  </si>
  <si>
    <t>Risk Register</t>
  </si>
  <si>
    <t>Centralized record of risks identified and their mitigation plans</t>
  </si>
  <si>
    <t>Across departments for risk analysis</t>
  </si>
  <si>
    <t>To track, manage, and review risks</t>
  </si>
  <si>
    <t>Yes, for management reviews</t>
  </si>
  <si>
    <t>To improve their own risk management</t>
  </si>
  <si>
    <t>A40</t>
  </si>
  <si>
    <t>Threat Intelligence Data</t>
  </si>
  <si>
    <t>Data on emerging threats and vulnerabilities</t>
  </si>
  <si>
    <t>Security operations centers (SOCs)</t>
  </si>
  <si>
    <t>To update and assess current threat landscape</t>
  </si>
  <si>
    <t>Yes, for external threat monitoring</t>
  </si>
  <si>
    <t>To monitor the same threat landscape</t>
  </si>
  <si>
    <t>Customers might benefit from enhanced security</t>
  </si>
  <si>
    <t>Incident Response and Management Process</t>
  </si>
  <si>
    <t>Create a procedure for detecting, responding to, and recovering from security issues such data breaches, malware attacks, or unauthorised access.</t>
  </si>
  <si>
    <t>A41</t>
  </si>
  <si>
    <t>Incident Response Plan</t>
  </si>
  <si>
    <t>A structured response plan to handle incidents</t>
  </si>
  <si>
    <t>Crisis management, IT, security teams</t>
  </si>
  <si>
    <t>To respond efficiently during an incident</t>
  </si>
  <si>
    <t>No, stays within security teams</t>
  </si>
  <si>
    <t>To improve incident response plans</t>
  </si>
  <si>
    <t>A42</t>
  </si>
  <si>
    <t>Incident Logs and Reports</t>
  </si>
  <si>
    <t>Logs and reports detailing specific incidents and responses</t>
  </si>
  <si>
    <t>To investigate incidents and make corrective actions</t>
  </si>
  <si>
    <t>Yes, in case of external audits or legal cases</t>
  </si>
  <si>
    <t>To learn how to handle incidents better</t>
  </si>
  <si>
    <t>A43</t>
  </si>
  <si>
    <t>Forensic Data</t>
  </si>
  <si>
    <t>Detailed technical data for legal or recovery purposes after incidents</t>
  </si>
  <si>
    <t>Legal, forensic teams</t>
  </si>
  <si>
    <t>To gather evidence for legal or recovery purposes</t>
  </si>
  <si>
    <t>Yes, for legal investigations</t>
  </si>
  <si>
    <t>To understand how forensic data is collected</t>
  </si>
  <si>
    <t>Compliance and Regulatory Management Process</t>
  </si>
  <si>
    <t>Ensure that the clinic follows all applicable legislation, such as HIPAA, and industry standards for patient data protection and information security.</t>
  </si>
  <si>
    <t>A44</t>
  </si>
  <si>
    <t>Compliance Documentation</t>
  </si>
  <si>
    <t>Documentation showing adherence to laws, regulations, and standards</t>
  </si>
  <si>
    <t>Compliance teams, legal departments</t>
  </si>
  <si>
    <t>To demonstrate compliance during audits or inspections</t>
  </si>
  <si>
    <t>Yes, for external audits or legal reviews</t>
  </si>
  <si>
    <t>To ensure compliance with the same regulations</t>
  </si>
  <si>
    <t>Not typically used by customers, though builds trust</t>
  </si>
  <si>
    <t>A45</t>
  </si>
  <si>
    <t>Audit Reports</t>
  </si>
  <si>
    <t>Records of internal and external audits of systems and practices</t>
  </si>
  <si>
    <t>Audit committees, internal control departments</t>
  </si>
  <si>
    <t>To track audit findings and improve practices</t>
  </si>
  <si>
    <t>Yes, shared with external auditors</t>
  </si>
  <si>
    <t>To improve audit processes</t>
  </si>
  <si>
    <t>A46</t>
  </si>
  <si>
    <t>Policy Documents</t>
  </si>
  <si>
    <t>Official internal policies governing operations, security, etc.</t>
  </si>
  <si>
    <t>HR, legal, and operational departments</t>
  </si>
  <si>
    <t>To guide internal operations and ensure compliance</t>
  </si>
  <si>
    <t>No, internal use only</t>
  </si>
  <si>
    <t>To develop similar internal policies</t>
  </si>
  <si>
    <t>Customers trust companies with strong internal policies</t>
  </si>
  <si>
    <t>A47</t>
  </si>
  <si>
    <t>Training Records</t>
  </si>
  <si>
    <t>Records of training sessions and employee participation</t>
  </si>
  <si>
    <t>HR, compliance teams</t>
  </si>
  <si>
    <t>To track training completion for audits and improvement</t>
  </si>
  <si>
    <t>No, used internally for compliance</t>
  </si>
  <si>
    <t>To ensure proper training for compliance</t>
  </si>
  <si>
    <t>Access Control and Identity Management Process</t>
  </si>
  <si>
    <t>Implement and administer access control methods to guarantee that only authorised workers may access sensitive data and systems.</t>
  </si>
  <si>
    <t>A48</t>
  </si>
  <si>
    <t>Access control policies</t>
  </si>
  <si>
    <t>Policies governing access control mechanisms for systems</t>
  </si>
  <si>
    <t>IT and security teams</t>
  </si>
  <si>
    <t>To ensure secure access control policies are in place</t>
  </si>
  <si>
    <t>To implement similar access controls</t>
  </si>
  <si>
    <t>A49</t>
  </si>
  <si>
    <t>User Access logs</t>
  </si>
  <si>
    <t>Logs of user access to systems and data</t>
  </si>
  <si>
    <t>IT departments, security operations</t>
  </si>
  <si>
    <t>To monitor access and detect unauthorized activities</t>
  </si>
  <si>
    <t>To monitor and control user access</t>
  </si>
  <si>
    <t>A50</t>
  </si>
  <si>
    <t>Identity managmenent System</t>
  </si>
  <si>
    <t>System managing identities and roles for users</t>
  </si>
  <si>
    <t>Identity and access management (IAM) systems</t>
  </si>
  <si>
    <t>To manage and control access rights of users</t>
  </si>
  <si>
    <t>To implement similar identity management processes</t>
  </si>
  <si>
    <t>Vendor and Third-Party Risk Management Process</t>
  </si>
  <si>
    <t>Assess and manage security threats posed by third-party vendors, service providers, and partners that have access to the clinic's data or systems.</t>
  </si>
  <si>
    <t>A51</t>
  </si>
  <si>
    <t>Vendor Risk Assesment</t>
  </si>
  <si>
    <t>Assessment reports of third-party vendor risks</t>
  </si>
  <si>
    <t>Vendor management, procurement</t>
  </si>
  <si>
    <t>To assess and mitigate risks associated with third parties</t>
  </si>
  <si>
    <t>Yes, shared with third-party vendors</t>
  </si>
  <si>
    <t>To mitigate vendor risks</t>
  </si>
  <si>
    <t>Customers expect vendors to manage risks</t>
  </si>
  <si>
    <t>A52</t>
  </si>
  <si>
    <t>Contracts</t>
  </si>
  <si>
    <t>Legal contracts with vendors, clients, and partners</t>
  </si>
  <si>
    <t>Legal, procurement departments</t>
  </si>
  <si>
    <t>To enforce terms, rights, and obligations with external entities</t>
  </si>
  <si>
    <t>Yes, shared with external entities</t>
  </si>
  <si>
    <t>To manage vendor relationships</t>
  </si>
  <si>
    <t>Customers rely on contracts for terms of service</t>
  </si>
  <si>
    <t>A53</t>
  </si>
  <si>
    <t>Compliance</t>
  </si>
  <si>
    <t>Documents proving compliance with legal and regulatory requirements</t>
  </si>
  <si>
    <t>Compliance teams</t>
  </si>
  <si>
    <t>To prove regulatory adherence</t>
  </si>
  <si>
    <t>Yes, shared with regulators and auditors</t>
  </si>
  <si>
    <t>To adhere to regulatory compliance</t>
  </si>
  <si>
    <t>Customers expect compliance with regulations</t>
  </si>
  <si>
    <t>A54</t>
  </si>
  <si>
    <t>Access Logs</t>
  </si>
  <si>
    <t>Logs recording access to facilities and systems</t>
  </si>
  <si>
    <t>Security and access control teams</t>
  </si>
  <si>
    <t>To monitor physical and system access points</t>
  </si>
  <si>
    <t>To secure their own access logs</t>
  </si>
  <si>
    <t>CHRO</t>
  </si>
  <si>
    <t>Employee Recruitment</t>
  </si>
  <si>
    <t>Identify, select, and onboard the right candidates for specific positions.</t>
  </si>
  <si>
    <t>A55</t>
  </si>
  <si>
    <t>Employee Record</t>
  </si>
  <si>
    <t xml:space="preserve">Includes name, address, date of birth, contact information, and social security number. Additionally, work history, salary, other employment-related data </t>
  </si>
  <si>
    <t>Recruitment, HR management, Payroll and employee records.</t>
  </si>
  <si>
    <t>HR administration, Performance management</t>
  </si>
  <si>
    <t>No</t>
  </si>
  <si>
    <t>HR administration</t>
  </si>
  <si>
    <t xml:space="preserve">Not used by the customers </t>
  </si>
  <si>
    <t>A56</t>
  </si>
  <si>
    <t>Recruitment Information</t>
  </si>
  <si>
    <t>Includes job applications, candidate information, resumes, interview notes, background check reports, and assessment results.</t>
  </si>
  <si>
    <t>Used internally by HR</t>
  </si>
  <si>
    <t>Used to screen candidates, assess qualifications, make hiring decisions, and manage recruitment workflows.</t>
  </si>
  <si>
    <t>Performance Management</t>
  </si>
  <si>
    <t>Oversee and evaluate employee performance, provide feedback and supports career development</t>
  </si>
  <si>
    <t>A57</t>
  </si>
  <si>
    <t>Employment Contract</t>
  </si>
  <si>
    <t>Signed contracts outlining job roles, compensation, benefits, and other employment terms.</t>
  </si>
  <si>
    <t>Used internally in HR and legal departments.</t>
  </si>
  <si>
    <t>Used for managing employee agreements and resolve disputes related to employment terms.</t>
  </si>
  <si>
    <t>A58</t>
  </si>
  <si>
    <t>Performance Appraisal Documents</t>
  </si>
  <si>
    <t>Includes appraisal forms, feedback reports, and performance ratings</t>
  </si>
  <si>
    <t>Used internally by HR and management for performance reviews and decision-making.</t>
  </si>
  <si>
    <t>Used for evaluating employee performance and determining bonuses and promotions.</t>
  </si>
  <si>
    <t>Employee Relations and Engagement</t>
  </si>
  <si>
    <t>Manage employee relations, address concerns, and create engagement initiatives for a positive work environment and job retention</t>
  </si>
  <si>
    <t>A59</t>
  </si>
  <si>
    <t>Employee Satisfaction Surveys</t>
  </si>
  <si>
    <t>Includes survey responses, analysis reports, and feedback summaries.</t>
  </si>
  <si>
    <t>Used internally by HR and management to assess and improve employee satisfaction.</t>
  </si>
  <si>
    <t>Used for identifying areas for improvement, enhance workplace conditions, and boost employee morale.</t>
  </si>
  <si>
    <t>Used to identify areas for improvement, enhance workplace conditions, and boost employee morale.</t>
  </si>
  <si>
    <t>A60</t>
  </si>
  <si>
    <t>Employee Engagement Programs</t>
  </si>
  <si>
    <t>Includes program plans, participation records, and feedback reports.</t>
  </si>
  <si>
    <t>Used internally to implement and manage engagement activities.</t>
  </si>
  <si>
    <t>Used for enhancing employee involvement, recognition, and motivation.</t>
  </si>
  <si>
    <t>Used to enhance employee involvement, recognition, and motivation.</t>
  </si>
  <si>
    <t>Employee Offboarding</t>
  </si>
  <si>
    <t>Facilitate the smooth transition of departing employees by conducting exit interviews, revoking access to company resources, and ensuring proper handover of responsibilities.</t>
  </si>
  <si>
    <t>A61</t>
  </si>
  <si>
    <t>Separation Agreements and Documents</t>
  </si>
  <si>
    <t>Includes legal agreements, release forms and documents for final settlement.</t>
  </si>
  <si>
    <t>Used internally by HR and legal departments to manage employee separations.</t>
  </si>
  <si>
    <t>Used for formalizing the terms of separation, ensuring compliance with legal requirements.</t>
  </si>
  <si>
    <t>A62</t>
  </si>
  <si>
    <t>Access Control Records</t>
  </si>
  <si>
    <t>Includes logs of access permissions, keycard assignments, and system login credentials.</t>
  </si>
  <si>
    <t>Used internally by employees to manage access to company resources.</t>
  </si>
  <si>
    <t>Used for accessing the company resources ensuring security compliance.</t>
  </si>
  <si>
    <t>Employee Training and Development</t>
  </si>
  <si>
    <t xml:space="preserve">Develop and implement continuous learning programs to help employees acquire new or improve existing skills and knowledge </t>
  </si>
  <si>
    <t>A63</t>
  </si>
  <si>
    <t xml:space="preserve">HR Policy Document </t>
  </si>
  <si>
    <t>Manuals, guidelines, and procedural documents related to HR policies.</t>
  </si>
  <si>
    <t>Used internally by HR and management to enforce policies and procedures</t>
  </si>
  <si>
    <t>Used for ensuring consistent application of HR practices and compliance with company standards.</t>
  </si>
  <si>
    <t>A64</t>
  </si>
  <si>
    <t>Training Materials</t>
  </si>
  <si>
    <t>Includes course content, e-learning modules, and instructional materials.</t>
  </si>
  <si>
    <t>Used internally by HR to conduct employee training sessions.</t>
  </si>
  <si>
    <t>Used for delivering training programs to enhance employee skills and support professional development.</t>
  </si>
  <si>
    <t>CTO</t>
  </si>
  <si>
    <t>Laboratory Management Information Systems (LMIS)</t>
  </si>
  <si>
    <t>The Laboratory Information Systems (LIS) is the software solution that supports the management of day-to-day operations in the medical laboratories. 
The LIS is used as the backbone in managing laboratory workflows and the associated operational data.
It has (but not limited to) the following functionalities:
- Sample Tracking: Manages the lifecycle of samples from collection to disposal.
- Data Management: Stores and organizes test results, patient data, and other critical information.
- Workflow Automation: Automates routine tasks such as sample processing, data entry, and reporting.</t>
  </si>
  <si>
    <t>A65</t>
  </si>
  <si>
    <t>Patient Data</t>
  </si>
  <si>
    <t>Personal and medical information belonging to patients.</t>
  </si>
  <si>
    <t>Almost everywhere. Almost every process in the company that interacts with clients/customers usually have a patient associated with them.
(Stored in the cloud servers.)</t>
  </si>
  <si>
    <t>First generated on a test request. A patient data needs to be inputted.
Used for identification and association with laboratory test results.</t>
  </si>
  <si>
    <t>Yes
(Partial)</t>
  </si>
  <si>
    <t>- Used for targeted marketing.
- Can be used for a smear campaign, showcasing our leaky and insecure data storage.</t>
  </si>
  <si>
    <t>Customers (patients) have access to this data through the web portal or their mobile apps.</t>
  </si>
  <si>
    <t>A66</t>
  </si>
  <si>
    <t>Laboratory Test Results</t>
  </si>
  <si>
    <t>Confidential test results and diagnostic information. Information on lab operations, workflows, and processes.</t>
  </si>
  <si>
    <t>In the laboratory, and any proprietary APIs and communication systems to deliver the information to either individual customers, or clinics and/or hospitals that order a test on behalf of a customer.
(Stored in the cloud servers.)</t>
  </si>
  <si>
    <t>Created as a result of lab tests.
Usually attached / associated with a patient.</t>
  </si>
  <si>
    <t>Yes</t>
  </si>
  <si>
    <t>n/a</t>
  </si>
  <si>
    <t>A67</t>
  </si>
  <si>
    <t>System Setup &amp; Security Configuration</t>
  </si>
  <si>
    <t>Details about the LIS setup, including security protocols and user access levels.</t>
  </si>
  <si>
    <t>In the LIS system and laboratory machines themselves.
Also in the IT department's file storage systems.
(Stored in the cloud servers.)</t>
  </si>
  <si>
    <t>Used to configure the LIS.</t>
  </si>
  <si>
    <t>- Can be used to mimic our setup, which reduces our competitive advantage.
- Leaked security configuration can compromise our system to intrusion by competitors.</t>
  </si>
  <si>
    <t>Equipment Maintenance &amp; Calibration</t>
  </si>
  <si>
    <t xml:space="preserve">This process ensures that all laboratory equipment is functioning correctly and accurately. Regular maintenance and calibration are crucial to maintaining the reliability and accuracy of test results.
This process is responsible for the following key functions:
- Scheduled Maintenance: Regularly scheduled checks and servicing of equipment to prevent breakdowns.
- Calibration: Adjusting equipment to ensure it produces accurate results.
- Record Keeping: Maintaining logs of all maintenance and calibration activities for compliance and quality control.
</t>
  </si>
  <si>
    <t>A68</t>
  </si>
  <si>
    <t>Maintenance &amp; Calibration Logs/Records</t>
  </si>
  <si>
    <t>Logs of maintenance activities, schedules, and calibration data.</t>
  </si>
  <si>
    <t>In a subdepartment of the IT department, responsible for laboratory machine maintenance and calibration.
(Stored in the cloud servers.)</t>
  </si>
  <si>
    <t>Used to record regular maintenance and calibration actions.</t>
  </si>
  <si>
    <t>- Can be used to mimic our setup, which reduces our competitive advantage.</t>
  </si>
  <si>
    <t>A69</t>
  </si>
  <si>
    <t>Incident Reports</t>
  </si>
  <si>
    <t>Reports of possible incidents, deviations from protocols, and any other irregularities.</t>
  </si>
  <si>
    <t>Used to record any incidents.
Generated when incidents, abnormalities, and or irregularities happen.</t>
  </si>
  <si>
    <t>- Can be used for a smear campaign, showcasing our incidents.</t>
  </si>
  <si>
    <t>Quality Control &amp; Assurance</t>
  </si>
  <si>
    <t>Quality control (QC) and assurance (QA) processes ensure that laboratory tests and procedures meet predefined standards and regulatory requirements. This process is vital for maintaining the accuracy and reliability of test results.
QA &amp; QC has the following key functionalities:
- QC Testing: Regular testing of samples to ensure accuracy and precision.
- SOPs: Developing and maintaining Standard Operating Procedures to guide laboratory operations.
- Compliance Monitoring: Ensuring that all laboratory activities comply with relevant regulations and standards.</t>
  </si>
  <si>
    <t>A70</t>
  </si>
  <si>
    <t>Standard Operating Procedures (SOPs)</t>
  </si>
  <si>
    <t>Detailed procedures for ensuring quality and consistency.</t>
  </si>
  <si>
    <t>Almost everywhere. Every department and process in the company would have their own SOP document.
(Stored in the cloud servers.)</t>
  </si>
  <si>
    <t>To educate employees on procedures to follow and how to act in certain scenarios.</t>
  </si>
  <si>
    <t>A71</t>
  </si>
  <si>
    <t>QA/QC Audit Reports</t>
  </si>
  <si>
    <t>Findings from internal and external quality audits. Inludes documentation of deviations from quality standards and corrective actions taken.</t>
  </si>
  <si>
    <t>In the QA &amp; QC department file storage.
(Stored in the cloud servers.)</t>
  </si>
  <si>
    <t>Generated in routine QA / QC processes.
Used to internal process and quality reviews and improvements.</t>
  </si>
  <si>
    <t>- Can be used to mimic our setup, which reduces our competitive advantage.
- Can be used for a smear campaign, showcasing our incidents.</t>
  </si>
  <si>
    <t>Research &amp; Development</t>
  </si>
  <si>
    <t>R&amp;D involves the creation and improvement of laboratory tests, procedures, and technologies. This process is essential for innovation and staying competitive in the medical testing industry.
R&amp;D has the following key functionalities:
- Research Projects: Conducting studies to develop new tests and improve existing ones.
- Data Analysis: Analyzing research data to draw conclusions and make improvements.
- IP Management: Protecting intellectual property generated from research activities.</t>
  </si>
  <si>
    <t>A72</t>
  </si>
  <si>
    <t>Unfinished Research Data</t>
  </si>
  <si>
    <t>Data on unfinished research, that could be volatile or prove damaging to the company's reputation due to public and media speculation.</t>
  </si>
  <si>
    <t>In the R&amp;D file systems.
(Stored in the cloud servers.)</t>
  </si>
  <si>
    <t>Generated during ongoing research.</t>
  </si>
  <si>
    <t>- Can be used to mimic our research, or steal our confidential research data.</t>
  </si>
  <si>
    <t>A73</t>
  </si>
  <si>
    <t>Confidential Intellectual Property (IP)</t>
  </si>
  <si>
    <t>Intellectual property that shouldn't be spread.</t>
  </si>
  <si>
    <t>Unfinished research data is transformed into Intellectual Property (IP) upon a successful conclusion of a R&amp;D project.</t>
  </si>
  <si>
    <t>A74</t>
  </si>
  <si>
    <t>Detailed Project Plans</t>
  </si>
  <si>
    <t>Detailed plans, timelines, budgets, key personnel, etc. for R&amp;D projects.</t>
  </si>
  <si>
    <t>Project plans for a past, ongoing, or future project. Contains details on how it is/was/would be executed, project personnel, budget, etc.</t>
  </si>
  <si>
    <r>
      <t>Vendor &amp; Supplier Management
(</t>
    </r>
    <r>
      <rPr>
        <i/>
        <sz val="11"/>
        <color rgb="FF000000"/>
        <rFont val="Aptos"/>
        <family val="2"/>
      </rPr>
      <t>Might overlap with COO.</t>
    </r>
    <r>
      <rPr>
        <sz val="11"/>
        <color rgb="FF000000"/>
        <rFont val="Aptos"/>
        <family val="2"/>
      </rPr>
      <t>)</t>
    </r>
  </si>
  <si>
    <t xml:space="preserve">This process involves managing relationships with technology vendors and suppliers to ensure the laboratory has the necessary tools and resources.
VSM has the following key functionalities:
- Vendor Selection: Evaluating and selecting vendors and suppliers.
- Hardware Procurement: Managing procurement and inventory of technological equipment.
- Vendor Evaluation: Monitoring vendor performance and compliance. Ensuring that the vendor consistently complies with necessary regulations to be allowed to provide their services to our company.
- Contract Management: Negotiating contracts and service level agreements (SLAs).
</t>
  </si>
  <si>
    <t>A75</t>
  </si>
  <si>
    <t>Vendor Contracts &amp; Agreements</t>
  </si>
  <si>
    <t>Contracts and agreements with vendors. Some vendors might prefer that this information is not made public. Might contain sensitive information that could be leveraged by competitors.</t>
  </si>
  <si>
    <t>In the VSM department file system.s
(Stored in the cloud servers.)</t>
  </si>
  <si>
    <t>Generated during and after the conclusion of contract negotiations with vendors &amp; suppliers.</t>
  </si>
  <si>
    <t>- Competitors may record and monitor our interactions with our vendors, and try to poach them by offering better deals.</t>
  </si>
  <si>
    <t>A76</t>
  </si>
  <si>
    <t>Vendor Assessment Reports</t>
  </si>
  <si>
    <t>Internal risk assessment documents, for internal uses only. Negative assessments of vendors could lead to defamation lawsuits.</t>
  </si>
  <si>
    <t>Generated during internal vendor risk assessment processes.
They are used to assess how suitable a vendor is to be a partner for this company based on a multitude of factors.</t>
  </si>
  <si>
    <t>- Competitors can use our own vendor assessment reports for their own use, which reduces their assessment costs, allowing them to make better decisions without having to deal with the costs associated with obtaining the needed information.</t>
  </si>
  <si>
    <t>CFO</t>
  </si>
  <si>
    <t>Financial Planning &amp; Budgeting</t>
  </si>
  <si>
    <t>This process involves forecasting the clinic’s financial future, including revenue and expense projections. It helps ensure that resources are allocated efficiently, guiding the clinic’s financial stability. The process includes creating budgets for various departments, managing capital allocations, and setting performance targets. It’s critical for controlling costs, maximizing profitability, and making informed strategic decisions for growth and sustainability.</t>
  </si>
  <si>
    <t>A77</t>
  </si>
  <si>
    <t>Financial Forecasts</t>
  </si>
  <si>
    <t>Data related to revenue and expense projections</t>
  </si>
  <si>
    <t>Used within the clinic's internal financial systems to project revenue and expenses.</t>
  </si>
  <si>
    <t>Used for creating and adjusting financial plans and forecasts.</t>
  </si>
  <si>
    <t>Competitors use forecasts to plan for financial stability and growth, making them better prepared for market fluctuations.</t>
  </si>
  <si>
    <t>Not used directly by customers.</t>
  </si>
  <si>
    <t>A78</t>
  </si>
  <si>
    <t>Budget Documents</t>
  </si>
  <si>
    <t>Clinic’s budget, departmental budgets, and capital allocations</t>
  </si>
  <si>
    <t>Used internally across departments for tracking and managing budget allocations</t>
  </si>
  <si>
    <t>Used for tracking and controlling budget allocations.</t>
  </si>
  <si>
    <t>Competitors use budgets to manage costs and maximize profitability across different departments and projects.</t>
  </si>
  <si>
    <t>A79</t>
  </si>
  <si>
    <t>Performance Reports</t>
  </si>
  <si>
    <t>Financial performance reports against budget and forecast</t>
  </si>
  <si>
    <t>Used internally by management for reviewing financial performance against targets.</t>
  </si>
  <si>
    <t>Used for assessing financial performance and making adjustments.</t>
  </si>
  <si>
    <t>Competitors analyze performance reports to assess profitability and make operational improvements.</t>
  </si>
  <si>
    <t>Revenue Management</t>
  </si>
  <si>
    <t>Revenue management focuses on ensuring the timely collection of payments from patients and insurers. It includes processes like invoicing, billing, and tracking outstanding accounts receivable (AR). This process ensures that cash flow remains positive, which is vital for the clinic's operations. By managing revenue streams effectively, the clinic can maintain financial health and avoid cash shortages, while also optimizing pricing strategies and payment terms for patients.</t>
  </si>
  <si>
    <t>A80</t>
  </si>
  <si>
    <t>Accounts Receivable (AR)</t>
  </si>
  <si>
    <t>Data on patient/insurer payments and collections</t>
  </si>
  <si>
    <t>Used within the clinic’s billing and payment systems for tracking patient/insurer payments.</t>
  </si>
  <si>
    <t>Used for managing and recording incoming payments.</t>
  </si>
  <si>
    <t>Competitors use AR data to optimize cash flow by improving collection efficiency and reducing outstanding balances.</t>
  </si>
  <si>
    <t>A81</t>
  </si>
  <si>
    <t>Billing Data</t>
  </si>
  <si>
    <t>Records of patient bills, invoices, and payment statuses</t>
  </si>
  <si>
    <t>Used in the internal billing system to generate, manage, and track invoices and payment statuses.</t>
  </si>
  <si>
    <t>Used for generating and tracking invoices and payments.</t>
  </si>
  <si>
    <t>Competitors use billing data to minimize delays in payment cycles and enhance financial efficiency.</t>
  </si>
  <si>
    <t>Used to track and verify payments.</t>
  </si>
  <si>
    <t>A82</t>
  </si>
  <si>
    <t>Revenue Reports</t>
  </si>
  <si>
    <t>Monthly and quarterly revenue data for financial analysis</t>
  </si>
  <si>
    <t>Used by financial analysts within the clinic for assessing revenue streams and financial trends.</t>
  </si>
  <si>
    <t>Used for analyzing revenue streams and financial performance.</t>
  </si>
  <si>
    <t>Competitors use revenue reports to identify trends and make strategic business decisions to enhance revenue growth.</t>
  </si>
  <si>
    <t>Expense Management</t>
  </si>
  <si>
    <t>This process oversees the clinic’s expenses, including payroll and vendor payments. It includes tracking operational costs, managing accounts payable (AP), and ensuring that employees are compensated on time. Expense management is key to maintaining financial discipline, ensuring that all outgoing payments are accurate and timely. It also involves vendor contract management, ensuring the clinic secures favorable terms with suppliers to control costs.</t>
  </si>
  <si>
    <t>A83</t>
  </si>
  <si>
    <t>Accounts Payable (AP)</t>
  </si>
  <si>
    <t>Data related to vendor payments and operational expenses</t>
  </si>
  <si>
    <t>Used by the accounts department to manage and track outgoing payments and operational expenses.</t>
  </si>
  <si>
    <t>Used for managing and tracking outgoing payments and expenses.</t>
  </si>
  <si>
    <t>Competitors use AP data to control costs by negotiating better payment terms with vendors and managing expenses efficiently.</t>
  </si>
  <si>
    <t>A84</t>
  </si>
  <si>
    <t>Payroll Data</t>
  </si>
  <si>
    <t>Information on employee salaries, benefits, and bonuses</t>
  </si>
  <si>
    <t>Used internally within the payroll management system to process employee compensation.</t>
  </si>
  <si>
    <t>Used for processing payroll and managing employee compensation.</t>
  </si>
  <si>
    <t>Competitors analyze payroll data to optimize labor costs and manage employee compensation, ensuring efficient staffing.</t>
  </si>
  <si>
    <t>A85</t>
  </si>
  <si>
    <t>Vendor Contracts</t>
  </si>
  <si>
    <t>Contracts and agreements with vendors for supplies and services</t>
  </si>
  <si>
    <t>Used within the procurement system for managing relationships and agreements with vendors.</t>
  </si>
  <si>
    <t>Used for managing vendor relationships and contractual obligations.</t>
  </si>
  <si>
    <t>Competitors use vendor contracts to negotiate favorable terms and improve supply chain efficiency, reducing overall procurement costs.</t>
  </si>
  <si>
    <t>Regulatory Compliance</t>
  </si>
  <si>
    <t>Regulatory compliance involves ensuring that the clinic adheres to local, state, and federal regulations. This includes healthcare, financial, and tax-related rules. The process is critical for maintaining legal standing, avoiding fines, and ensuring that the clinic passes audits. Compliance documentation, tax filings, and audit reports are integral parts of this process, helping the clinic remain transparent, avoid penalties, and maintain trust with regulators and patients.</t>
  </si>
  <si>
    <t>A86</t>
  </si>
  <si>
    <t>Records of compliance with healthcare regulations and audits</t>
  </si>
  <si>
    <t>Used by the compliance department to ensure adherence to healthcare regulations and for audit readiness.</t>
  </si>
  <si>
    <t>Used for maintaining regulatory compliance and audit readiness.</t>
  </si>
  <si>
    <t>Competitors use compliance documentation to ensure they avoid penalties and meet legal requirements, maintaining smooth operations.</t>
  </si>
  <si>
    <t>A87</t>
  </si>
  <si>
    <t>Tax Records</t>
  </si>
  <si>
    <t>Tax filings, payments, and related financial documents</t>
  </si>
  <si>
    <t>Used internally for preparing and filing tax documents to comply with financial regulations.</t>
  </si>
  <si>
    <t>Used for tax preparation, filing, and compliance.</t>
  </si>
  <si>
    <t>Competitors use tax records to optimize tax strategies, reduce liabilities, and ensure compliance with financial regulations.</t>
  </si>
  <si>
    <t>A88</t>
  </si>
  <si>
    <t>Reports of financial and operational audits for regulatory compliance</t>
  </si>
  <si>
    <t>Used by internal auditors and management to verify financial and operational compliance.</t>
  </si>
  <si>
    <t>Used for verifying compliance and financial accuracy.</t>
  </si>
  <si>
    <t>Competitors use audit reports to identify gaps in compliance and improve operational efficiency, avoiding regulatory and financial risks.</t>
  </si>
  <si>
    <t>Investment &amp; Capital Allocation</t>
  </si>
  <si>
    <t>This process involves managing the clinic’s investments and deciding where to allocate capital for growth and improvement. It includes evaluating the performance of investments, managing asset purchases, and analyzing returns on investment (ROI). Effective capital allocation helps the clinic fund major projects like facility upgrades or technology improvements, ensuring long-term growth while maximizing financial returns from investments.</t>
  </si>
  <si>
    <t>A89</t>
  </si>
  <si>
    <t>Investment Records</t>
  </si>
  <si>
    <t>Data on investments, asset purchases, and returns</t>
  </si>
  <si>
    <t>Used by the finance team to manage and track the clinic’s investment portfolios.</t>
  </si>
  <si>
    <t>Used for managing investment portfolios and analyzing returns.</t>
  </si>
  <si>
    <t>Competitors use investment records to analyze returns and adjust their investment strategies for better growth and capital allocation.</t>
  </si>
  <si>
    <t>A90</t>
  </si>
  <si>
    <t>Capital Budget</t>
  </si>
  <si>
    <t>Data on capital expenditure and allocations</t>
  </si>
  <si>
    <t>Used by management for planning and allocating capital expenditures within the clinic.</t>
  </si>
  <si>
    <t>Used for planning and managing capital investments.</t>
  </si>
  <si>
    <t>Competitors use capital budgets to plan for future growth and allocate resources effectively to avoid capital shortfalls.</t>
  </si>
  <si>
    <t>A91</t>
  </si>
  <si>
    <t>Return on Investment (ROI) Data</t>
  </si>
  <si>
    <t>Performance data of various investments and asset purchases</t>
  </si>
  <si>
    <t>Used internally to evaluate the performance of various investments.</t>
  </si>
  <si>
    <t>Used for evaluating the effectiveness of investments.</t>
  </si>
  <si>
    <t>Competitors use ROI data to measure the success of their investments and adjust strategies to maximize returns in future projects.</t>
  </si>
  <si>
    <t>A92</t>
  </si>
  <si>
    <t>Documents detailing the findings of internal and external audits</t>
  </si>
  <si>
    <t>Used by internal and external auditors to ensure the clinic meets financial and regulatory standards.</t>
  </si>
  <si>
    <t>Used for ensuring accuracy and compliance in financial reporting.</t>
  </si>
  <si>
    <t>Competitors use audit reports to verify financial accuracy and ensure regulatory compliance, improving their risk management and financial planning.</t>
  </si>
  <si>
    <t>CRO</t>
  </si>
  <si>
    <t>Risk Identification</t>
  </si>
  <si>
    <t>Identifying potential risks across the organization, focusing on operational, financial, and regulatory risks.</t>
  </si>
  <si>
    <t>A93</t>
  </si>
  <si>
    <t>Patient Records</t>
  </si>
  <si>
    <t xml:space="preserve">Critical data used during registration and consultations.	</t>
  </si>
  <si>
    <t>Patient management systems.</t>
  </si>
  <si>
    <t>Helps identify risks related to data breaches or operational failures.</t>
  </si>
  <si>
    <t>Competitors may lack similar risk management, leaving them vulnerable.</t>
  </si>
  <si>
    <t>Customers benefit from fewer service disruptions.</t>
  </si>
  <si>
    <t>A94</t>
  </si>
  <si>
    <t>IT Infrastructure Data</t>
  </si>
  <si>
    <t>Data on systems supporting patient scheduling and telehealth.</t>
  </si>
  <si>
    <t>IT systems, network infrastructure.</t>
  </si>
  <si>
    <t>Identifies system vulnerabilities and potential failures.</t>
  </si>
  <si>
    <t>Competitors with weak infrastructure are prone to system downtime.</t>
  </si>
  <si>
    <t>Indirect benefits through better system reliability.</t>
  </si>
  <si>
    <t>A95</t>
  </si>
  <si>
    <t xml:space="preserve">Compliance Monitoring Systems	</t>
  </si>
  <si>
    <t>Systems tracking regulatory compliance and internal controls.</t>
  </si>
  <si>
    <t>Legal and compliance departments.</t>
  </si>
  <si>
    <t>Ensures adherence to regulations and prevents legal penalties.</t>
  </si>
  <si>
    <t>Competitors without strong compliance may face penalties.</t>
  </si>
  <si>
    <t>Customers benefit from legally compliant, trustworthy services.</t>
  </si>
  <si>
    <t xml:space="preserve">Risk Mitigation	</t>
  </si>
  <si>
    <t>Developing and implementing strategies to reduce or eliminate risks in operations, security, and compliance.</t>
  </si>
  <si>
    <t>A96</t>
  </si>
  <si>
    <t>Risk Mitigation Plans</t>
  </si>
  <si>
    <t>Strategies for preventing risks like data breaches or platform failures.</t>
  </si>
  <si>
    <t>Risk management teams, IT departments.</t>
  </si>
  <si>
    <t>Used to mitigate risks proactively and improve resilience.</t>
  </si>
  <si>
    <t>Competitors may have weaker mitigation strategies, exposing them to higher risks.</t>
  </si>
  <si>
    <t>Customers benefit from stable services during crises.</t>
  </si>
  <si>
    <t>A97</t>
  </si>
  <si>
    <t>Risk Control Measures</t>
  </si>
  <si>
    <t>Safeguards and controls to prevent risk realization.</t>
  </si>
  <si>
    <t>Operations, IT, risk management.</t>
  </si>
  <si>
    <t>Implements measures to minimize the impact of identified risks.</t>
  </si>
  <si>
    <t>Competitors lacking controls may experience more failures.</t>
  </si>
  <si>
    <t>Customers enjoy stable and uninterrupted services.</t>
  </si>
  <si>
    <t>A98</t>
  </si>
  <si>
    <t xml:space="preserve">Incident Logs	</t>
  </si>
  <si>
    <t>Records of past incidents and the actions taken to resolve them.</t>
  </si>
  <si>
    <t>IT systems, risk management.</t>
  </si>
  <si>
    <t>Provides data for improving future risk response strategies.</t>
  </si>
  <si>
    <t>Competitors without incident logs may be prone to repeating mistakes.</t>
  </si>
  <si>
    <t>Customers benefit from refined, resilient services.</t>
  </si>
  <si>
    <t>Crisis Management</t>
  </si>
  <si>
    <t>Developing and executing plans for managing crises like data breaches, system failures, or external threats.</t>
  </si>
  <si>
    <t>A99</t>
  </si>
  <si>
    <t xml:space="preserve">Crisis Management Plan	</t>
  </si>
  <si>
    <t>Procedures for responding to various types of crises.</t>
  </si>
  <si>
    <t>Executive teams, risk management.</t>
  </si>
  <si>
    <t>Ensures swift and effective responses to minimize operational damage.</t>
  </si>
  <si>
    <t>Competitors may struggle with crisis response, giving your company an advantage.</t>
  </si>
  <si>
    <t>Customers trust the company more due to quick recovery times.</t>
  </si>
  <si>
    <t>A100</t>
  </si>
  <si>
    <t xml:space="preserve">Emergency Response Guidelines	</t>
  </si>
  <si>
    <t xml:space="preserve">Guidelines for handling emergencies efficiently.	</t>
  </si>
  <si>
    <t xml:space="preserve">Risk management, HR, operations.	</t>
  </si>
  <si>
    <t>Provides a framework for responding to emergencies, protecting assets and services.</t>
  </si>
  <si>
    <t>Competitors may have slower response times, damaging their reputation.</t>
  </si>
  <si>
    <t>Customers appreciate rapid responses during emergencies.</t>
  </si>
  <si>
    <t>A101</t>
  </si>
  <si>
    <t xml:space="preserve">Crisis Communication Templates	</t>
  </si>
  <si>
    <t>Pre-drafted materials for crisis communications.</t>
  </si>
  <si>
    <t>Public relations, marketing.</t>
  </si>
  <si>
    <t>Ensures consistent messaging during crises to maintain public trust.</t>
  </si>
  <si>
    <t>Competitors without structured communication may face reputational damage.</t>
  </si>
  <si>
    <t>Customers are reassured by clear and timely communication during crises.</t>
  </si>
  <si>
    <t xml:space="preserve">Regulatory Compliance	</t>
  </si>
  <si>
    <t>Ensuring adherence to healthcare and data regulations, avoiding fines, and protecting the organization.</t>
  </si>
  <si>
    <t>A102</t>
  </si>
  <si>
    <t>Systems to track adherence to regulations and standards.</t>
  </si>
  <si>
    <t>Compliance and legal departments.</t>
  </si>
  <si>
    <t>Ensures compliance with relevant laws and standards to avoid penalties.</t>
  </si>
  <si>
    <t xml:space="preserve">Competitors may face penalties for non-compliance, affecting their reputation.	</t>
  </si>
  <si>
    <t>Customers benefit from the company's commitment to compliance and privacy.</t>
  </si>
  <si>
    <t>A103</t>
  </si>
  <si>
    <t xml:space="preserve">Compliance Reports	</t>
  </si>
  <si>
    <t>Reports documenting the organization's regulatory adherence.</t>
  </si>
  <si>
    <t>Compliance, legal, risk teams.</t>
  </si>
  <si>
    <t>Provides documentation for audits and internal reviews to ensure compliance.</t>
  </si>
  <si>
    <t>Competitors lacking comprehensive compliance reports are at higher risk of violations.</t>
  </si>
  <si>
    <t>Customers trust compliant companies with their sensitive data.</t>
  </si>
  <si>
    <t>A104</t>
  </si>
  <si>
    <t xml:space="preserve">Regulatory Audit Records	</t>
  </si>
  <si>
    <t>Records of past regulatory audits and findings.</t>
  </si>
  <si>
    <t>Legal and compliance teams.</t>
  </si>
  <si>
    <t>Helps address gaps in compliance and prevent future violations.</t>
  </si>
  <si>
    <t>Competitors without audit records may face difficulties in maintaining compliance.</t>
  </si>
  <si>
    <t>Customers benefit from the company's improved service quality through audits.</t>
  </si>
  <si>
    <t>Risk Communication</t>
  </si>
  <si>
    <t xml:space="preserve">Communicating risk-related information to internal teams and ensuring that everyone is aware of potential threats.	</t>
  </si>
  <si>
    <t>A105</t>
  </si>
  <si>
    <t>Risk Communication Tools</t>
  </si>
  <si>
    <t>Platforms and tools used for sharing risk information.</t>
  </si>
  <si>
    <t>Risk management, internal teams.</t>
  </si>
  <si>
    <t xml:space="preserve">Ensures timely communication of risks to mitigate potential threats.	</t>
  </si>
  <si>
    <t>Competitors may have slower communication, leading to delayed responses.</t>
  </si>
  <si>
    <t>Customers indirectly benefit from the company's quick response to risks.</t>
  </si>
  <si>
    <t>A106</t>
  </si>
  <si>
    <t xml:space="preserve">Risk Awareness Campaigns	</t>
  </si>
  <si>
    <t xml:space="preserve">Internal campaigns promoting risk awareness among employees.	</t>
  </si>
  <si>
    <t>HR, risk management.</t>
  </si>
  <si>
    <t xml:space="preserve">Educates employees on key risks, fostering a risk-aware culture.	</t>
  </si>
  <si>
    <t xml:space="preserve">Competitors with less focus on risk awareness may face more frequent incidents.	</t>
  </si>
  <si>
    <t>Customers benefit from a workforce that is better equipped to prevent errors.</t>
  </si>
  <si>
    <t>A107</t>
  </si>
  <si>
    <t>Risk Response Guidelines</t>
  </si>
  <si>
    <t>Guidelines for responding to identified risks.</t>
  </si>
  <si>
    <t>Risk management, operations.</t>
  </si>
  <si>
    <t>Provides standardized protocols for addressing risks efficiently.</t>
  </si>
  <si>
    <t>Competitors may have unstructured responses, increasing their vulnerability.</t>
  </si>
  <si>
    <t>Customers benefit from stable and consistent services.</t>
  </si>
  <si>
    <t>Information Asset</t>
  </si>
  <si>
    <t>What are the Threats</t>
  </si>
  <si>
    <t xml:space="preserve"> Intentional/ Accidental</t>
  </si>
  <si>
    <t>Where will it occur?</t>
  </si>
  <si>
    <t>Who</t>
  </si>
  <si>
    <t>How will the threat occur?</t>
  </si>
  <si>
    <t>Likelihood</t>
  </si>
  <si>
    <t xml:space="preserve">Consequence </t>
  </si>
  <si>
    <t xml:space="preserve">Risk Rating </t>
  </si>
  <si>
    <t>Corporate Strategy Documents</t>
  </si>
  <si>
    <t>Unauthorized Acccess</t>
  </si>
  <si>
    <t>Intentional</t>
  </si>
  <si>
    <t>Remote</t>
  </si>
  <si>
    <t>External Competitors/ Cyber Criminals</t>
  </si>
  <si>
    <t>Phising Spear through companys communication channel</t>
  </si>
  <si>
    <t>Possible</t>
  </si>
  <si>
    <t>Catastrophic</t>
  </si>
  <si>
    <t>Major</t>
  </si>
  <si>
    <t>Corporate espionage</t>
  </si>
  <si>
    <t>Physical Office</t>
  </si>
  <si>
    <t>Internal Staff / Employee / Disgruntled C- level Employees</t>
  </si>
  <si>
    <t>Unauthorized copy of physical internal documents</t>
  </si>
  <si>
    <t>Data Leakage</t>
  </si>
  <si>
    <t>Accidental</t>
  </si>
  <si>
    <t>Unsecured Portal  / Messaging tool</t>
  </si>
  <si>
    <t>Internal Staff / Employee</t>
  </si>
  <si>
    <t>Sharing internal documents by using of unauthorised messaging tool</t>
  </si>
  <si>
    <t>Likely</t>
  </si>
  <si>
    <t>Insider Threat</t>
  </si>
  <si>
    <t xml:space="preserve">Corporate communication tools like email, cloud storage platforms, internal messaging tool. </t>
  </si>
  <si>
    <t xml:space="preserve">Board Members, C- level Executives or trusted employees that are part of board meertings. </t>
  </si>
  <si>
    <t>A board member or a c-level executive with privileged access to sensitive information intentionaly leaks information</t>
  </si>
  <si>
    <t>External Cyber Attack</t>
  </si>
  <si>
    <t>Cyber Criminals</t>
  </si>
  <si>
    <t xml:space="preserve">Cybercriminals steal confidential board decisions. </t>
  </si>
  <si>
    <t>Almost Certain</t>
  </si>
  <si>
    <t>Moderate</t>
  </si>
  <si>
    <t>Third-party service provider is compromised</t>
  </si>
  <si>
    <t>Third-party Infrastructure</t>
  </si>
  <si>
    <t>Cyber Criminals or Hackers targeting the service provider</t>
  </si>
  <si>
    <t xml:space="preserve">Third-party vendor (Cloud Service) managing or storing the board resolution is compromised. </t>
  </si>
  <si>
    <t>Regulatory Approvals Documents</t>
  </si>
  <si>
    <t>Accidental Disclosure</t>
  </si>
  <si>
    <t>Administrative Staff who handles regulatory documents</t>
  </si>
  <si>
    <t>An employee mistakenly sends an email conatining sensitive information</t>
  </si>
  <si>
    <t>Medium</t>
  </si>
  <si>
    <t>Physical Theft</t>
  </si>
  <si>
    <t>Company Office, Storage Facility and transport of documents between locations</t>
  </si>
  <si>
    <t>Employee, Burglars or Thieves</t>
  </si>
  <si>
    <t>Theft occurs in the company premises, lost of laptops and portable storage device containing sensitive regulatory information</t>
  </si>
  <si>
    <t>Cloud Service Provider</t>
  </si>
  <si>
    <t>Hackers, Cyber Criminals</t>
  </si>
  <si>
    <t>Unencrypted data or Inadequate security controls</t>
  </si>
  <si>
    <t>Manipulation of Data</t>
  </si>
  <si>
    <t>Financial Reporting Systems such as ERP or spreadsheets</t>
  </si>
  <si>
    <t>Internal Employees</t>
  </si>
  <si>
    <t>Misrepresentation of the companys financial performance</t>
  </si>
  <si>
    <t>Extreme</t>
  </si>
  <si>
    <t>Email, ERP systems, shared network drives</t>
  </si>
  <si>
    <t>Hackers or Disgruntled employees</t>
  </si>
  <si>
    <t>Unauthorized access of individuals to sensitive financial performance</t>
  </si>
  <si>
    <t>Data Loss or Corruption</t>
  </si>
  <si>
    <t>Employee, IT Staff, System Failures</t>
  </si>
  <si>
    <t>Corrupted Data, Hardware Failure and Software Issues</t>
  </si>
  <si>
    <t>Budget Tampering</t>
  </si>
  <si>
    <t>Budget management system, Manual Records</t>
  </si>
  <si>
    <t>Internal Employees with access to budget data</t>
  </si>
  <si>
    <t>Employee alter budget features to manipulate resources</t>
  </si>
  <si>
    <t>Phising</t>
  </si>
  <si>
    <t>External Attackers</t>
  </si>
  <si>
    <t>Attackers phising employees into sharing access to budget management systems</t>
  </si>
  <si>
    <t>Cyberattack</t>
  </si>
  <si>
    <t>Cloud Services, Budget Tracking System</t>
  </si>
  <si>
    <t>Denial of Service Attacks</t>
  </si>
  <si>
    <t>Financial Data Theft</t>
  </si>
  <si>
    <t>Cash Flow Management Platforms that are based in the cloud system</t>
  </si>
  <si>
    <t>External Cyberciminals / Insider Threats</t>
  </si>
  <si>
    <t>Attackers penetrate financial systems and steal sensitive data</t>
  </si>
  <si>
    <t>Cloud Environments, ERP Systems</t>
  </si>
  <si>
    <t>Malicious Insiders</t>
  </si>
  <si>
    <t>Crisis Mangement Plans</t>
  </si>
  <si>
    <t>Unauthorized Access</t>
  </si>
  <si>
    <t>Cloud Storage, Shared Drives and Paper Documents</t>
  </si>
  <si>
    <t>Internal Staff or Third Party Contractor</t>
  </si>
  <si>
    <t>Unauthorized access of individuals potentially leading to the disclosure or missue of information</t>
  </si>
  <si>
    <t>Ransomware Attack</t>
  </si>
  <si>
    <t>Cloud Storage</t>
  </si>
  <si>
    <t>External Hackers</t>
  </si>
  <si>
    <t>Cybercriminals block access to the Organization management plan and demands a payment in exchange to for the retrieval of the access</t>
  </si>
  <si>
    <t>Data Corruption</t>
  </si>
  <si>
    <t>Cloud Storage or Physical Storage</t>
  </si>
  <si>
    <t>Internal staff (Intentional) External Hackers</t>
  </si>
  <si>
    <t>Accidental or intentional deletion of Crisis Management Plans</t>
  </si>
  <si>
    <t>Espionage</t>
  </si>
  <si>
    <t>Shared Drives or Cloud Storage</t>
  </si>
  <si>
    <t>Competitors, External Attackers, Third-pary sevicen providers</t>
  </si>
  <si>
    <t>Competitors gain acces to the asset and identified its vulneribilities and use it agains the company</t>
  </si>
  <si>
    <t>BCP Manipulation thru Cyber Attack</t>
  </si>
  <si>
    <t>Communications platforms like email, messaging software</t>
  </si>
  <si>
    <t>External  attackers</t>
  </si>
  <si>
    <t>Altering the business continuity plan thru phising tehnique</t>
  </si>
  <si>
    <t>Denial of Service</t>
  </si>
  <si>
    <t>Internal Network and Cloud Hosted Platforms</t>
  </si>
  <si>
    <t>Cybercriminals or disgruntled individuals</t>
  </si>
  <si>
    <t>Attack on the Business Continuity System making it unavailable during critical period
Internal Network Failure</t>
  </si>
  <si>
    <t>Information manipulation</t>
  </si>
  <si>
    <t>Website Content, Office social media accounts</t>
  </si>
  <si>
    <t>Hackers, Cyber activist</t>
  </si>
  <si>
    <t>Releasing of false information or misleading statements through companys website content</t>
  </si>
  <si>
    <t>Unauthorized Disclosure</t>
  </si>
  <si>
    <t>Emails and Document storage such as cloud</t>
  </si>
  <si>
    <t>Attackers release senstivie information before the official releae date</t>
  </si>
  <si>
    <t>Phising attacks</t>
  </si>
  <si>
    <t>Attacks targeting communications personnel with access to sensitive information</t>
  </si>
  <si>
    <t>Data Breach</t>
  </si>
  <si>
    <t>External hackers / Disgruntled Employees and Third-party vendors</t>
  </si>
  <si>
    <t>Unauthorized access to legal contract repository and financial obligations</t>
  </si>
  <si>
    <t>Document Tampering</t>
  </si>
  <si>
    <t>ERP Systems, Share Drives</t>
  </si>
  <si>
    <t>External attackers, Third-party vendors with access to legal documents</t>
  </si>
  <si>
    <t>Manipulation or altering of legal contracts</t>
  </si>
  <si>
    <t>Loss of Legal Data (Data Corruption)</t>
  </si>
  <si>
    <t>Cloud Storage or Local Servers</t>
  </si>
  <si>
    <t>IT Staff, Third party Providers, Legal Team who has acces in the Legal documents</t>
  </si>
  <si>
    <t>Accidental deletion or corrupted data due to system failures</t>
  </si>
  <si>
    <t>Cloud Storage and shared drives</t>
  </si>
  <si>
    <t>External Attackers, Insiders</t>
  </si>
  <si>
    <t>Tampering</t>
  </si>
  <si>
    <t>Document Management System, Cloud Storage</t>
  </si>
  <si>
    <t>Altering of critical governance policies</t>
  </si>
  <si>
    <t>Emails, Non-secured Portals or repository</t>
  </si>
  <si>
    <t>External Hackers, Cyber activist</t>
  </si>
  <si>
    <t>By using phishing emails in gaining access to the companies governance policies</t>
  </si>
  <si>
    <t>Annual Reports to board members</t>
  </si>
  <si>
    <t>Emails, Document Management System, Cloud Storage</t>
  </si>
  <si>
    <t>Employees, Board Members</t>
  </si>
  <si>
    <t>Leaks sensitive financial, operational and annual reports before presenting to boad</t>
  </si>
  <si>
    <t>Tampering (Falsification of data)</t>
  </si>
  <si>
    <t>Board communication tools and Document Management System</t>
  </si>
  <si>
    <t>Finance Staff with elevated access, Insiders/Employees</t>
  </si>
  <si>
    <t>Tampering of financial and operational records</t>
  </si>
  <si>
    <t>Cloud Storage and ERP Systems</t>
  </si>
  <si>
    <t>External Attackers / Cyber Criminals</t>
  </si>
  <si>
    <t>Cyber attacker gains access to the system and deploys encryption an encryption method that will controll the access of the system until the ransom is paid</t>
  </si>
  <si>
    <t>Cloud Storage, Email communications, Shared storage devices</t>
  </si>
  <si>
    <t>Competitors / Internal Employees</t>
  </si>
  <si>
    <t>Unauthorized accces of competitors to the business case proposal documents compromising company's investment opportunities and busines strategies</t>
  </si>
  <si>
    <t>Emails and cloud storage platforms</t>
  </si>
  <si>
    <t>Attacks targeting personnel with access to business case proposals</t>
  </si>
  <si>
    <t>Cloud storage or local storage</t>
  </si>
  <si>
    <t>IT Staff, Business development team or Third Part Providers</t>
  </si>
  <si>
    <t>System failure or lost due to human error</t>
  </si>
  <si>
    <t>Intellectual property theft</t>
  </si>
  <si>
    <t>Cloud storage or local drives, Email communications</t>
  </si>
  <si>
    <t>Competitors or Insiders</t>
  </si>
  <si>
    <t>Steal sensitive information about innovative healthcare products and treatments</t>
  </si>
  <si>
    <t>Cloud storage with control access feature</t>
  </si>
  <si>
    <t>Hostaging the information until ransom is paid</t>
  </si>
  <si>
    <t>Data Manipulation</t>
  </si>
  <si>
    <t>Internal Employees / External Attackers</t>
  </si>
  <si>
    <t>Manipulation of data and alterting project timelines</t>
  </si>
  <si>
    <t>Cloud storage, company emails</t>
  </si>
  <si>
    <t>Insiders and External Attackers</t>
  </si>
  <si>
    <t>Leaking of confidential partnerships and exposing sensitive data</t>
  </si>
  <si>
    <t>Contract Tampering</t>
  </si>
  <si>
    <t>Tampering of partnership agreements</t>
  </si>
  <si>
    <t>Data Corruption (Accidental or Intentional)</t>
  </si>
  <si>
    <t>Cloud storage, local servers</t>
  </si>
  <si>
    <t>Third-party providers, Internal Staff</t>
  </si>
  <si>
    <t>Parternship agreements accidentaly deleted or corrupted</t>
  </si>
  <si>
    <t>Minor</t>
  </si>
  <si>
    <t>Online Access Points</t>
  </si>
  <si>
    <t>External actors</t>
  </si>
  <si>
    <t>Unauthorized access to patient records through weak security protocols</t>
  </si>
  <si>
    <t xml:space="preserve">Insider Threat </t>
  </si>
  <si>
    <t>Internal Network</t>
  </si>
  <si>
    <t>Employee with access rights</t>
  </si>
  <si>
    <t>Staff accessing record without proper permission</t>
  </si>
  <si>
    <t>Malware Attack</t>
  </si>
  <si>
    <t>User's workstation</t>
  </si>
  <si>
    <t>External actors using phising campaings</t>
  </si>
  <si>
    <t>Phising or malicious downloads</t>
  </si>
  <si>
    <t>Denial of Service (DoS) Attack</t>
  </si>
  <si>
    <t>Appointment scheduling platform</t>
  </si>
  <si>
    <t>External attackers</t>
  </si>
  <si>
    <t>Overloading requests cause a service outage</t>
  </si>
  <si>
    <t>System Misconfiguration</t>
  </si>
  <si>
    <t xml:space="preserve">Accidental </t>
  </si>
  <si>
    <t xml:space="preserve">IT infrastructure </t>
  </si>
  <si>
    <t>Internal IT team</t>
  </si>
  <si>
    <t>Appoinment system was not set up correctly 
leading to downtime</t>
  </si>
  <si>
    <t>Data Integrity Loss</t>
  </si>
  <si>
    <t>Appointment records database</t>
  </si>
  <si>
    <t>Internal failure or external interfence</t>
  </si>
  <si>
    <t>Corrupted data in scheduling system</t>
  </si>
  <si>
    <t>Unauthorized Access to Sensitive 
Health Data</t>
  </si>
  <si>
    <t xml:space="preserve">Online portals </t>
  </si>
  <si>
    <t xml:space="preserve">Hackers gain access to medical records </t>
  </si>
  <si>
    <t>Data Tampering by Insider</t>
  </si>
  <si>
    <t>Internal access of MHR system</t>
  </si>
  <si>
    <t>Disgruntled employee</t>
  </si>
  <si>
    <t>Employee deletes patient records</t>
  </si>
  <si>
    <t>Unlikely</t>
  </si>
  <si>
    <t>System Downtime</t>
  </si>
  <si>
    <t>Central server of MHR system</t>
  </si>
  <si>
    <t>Internal IT failure</t>
  </si>
  <si>
    <t>Technical issues lead to system crash</t>
  </si>
  <si>
    <t>Algorithm Manipulation</t>
  </si>
  <si>
    <t>CDSS database and algorithm code</t>
  </si>
  <si>
    <t>Insider with access to system codes</t>
  </si>
  <si>
    <t>External attack or insider change the
algorithm, altering clinical decisions</t>
  </si>
  <si>
    <t>Cloud storage used by CDSS</t>
  </si>
  <si>
    <t>External cyber attackers</t>
  </si>
  <si>
    <t>External hackers gain access to clinical 
decision data</t>
  </si>
  <si>
    <t>System Overload and Failure</t>
  </si>
  <si>
    <t>Central server</t>
  </si>
  <si>
    <t>internal IT infrastructure</t>
  </si>
  <si>
    <t xml:space="preserve">High volume of requests which cause
 system crash </t>
  </si>
  <si>
    <t>Laboratory Information Management System (LIMS),</t>
  </si>
  <si>
    <t>LIMS Software or Databasee</t>
  </si>
  <si>
    <t>External attackers or
internal system failure</t>
  </si>
  <si>
    <t>Corruption of lab test results due to 
system failure</t>
  </si>
  <si>
    <t>Unauthorized Access to Lab Results</t>
  </si>
  <si>
    <t>Online portals or LIMS database</t>
  </si>
  <si>
    <t>External hackers gain access to patient 
lab results</t>
  </si>
  <si>
    <t xml:space="preserve">System Downtime </t>
  </si>
  <si>
    <t>Central IT infrastructure hosting 
the LIMS</t>
  </si>
  <si>
    <t>Server or software malfunction causing LIMS system unavailable</t>
  </si>
  <si>
    <t>PACS server and storage system</t>
  </si>
  <si>
    <t>External hackers</t>
  </si>
  <si>
    <t>PACS is compromised by ransomware, 
which encrpyts imaging files</t>
  </si>
  <si>
    <t>Data Breach of Imaging Files</t>
  </si>
  <si>
    <t>PACS cloud storage or server</t>
  </si>
  <si>
    <t>External cybercriminals</t>
  </si>
  <si>
    <t>Hackers steals imaging files for 
malicious purpose</t>
  </si>
  <si>
    <t>System Failure due to overload</t>
  </si>
  <si>
    <t>PACS internal server</t>
  </si>
  <si>
    <t>Internal system failure</t>
  </si>
  <si>
    <t>PACS experiences failure due to high usage or insufficient server capacity</t>
  </si>
  <si>
    <t>Equipment Malfunction</t>
  </si>
  <si>
    <t>On-site in clinics or diagnostic 
centers</t>
  </si>
  <si>
    <t>Interrnal equipment malfunction</t>
  </si>
  <si>
    <t>Hardware failure on diagnostic equipment</t>
  </si>
  <si>
    <t>Data Transmissison Failure</t>
  </si>
  <si>
    <t>Network connecting diagnostic 
equipments to central storage</t>
  </si>
  <si>
    <t>Internal IT or network failure</t>
  </si>
  <si>
    <t>Diagnostic equipment fails to transmit data to central system</t>
  </si>
  <si>
    <t>Unauthorized Access to Diagnostic 
Data</t>
  </si>
  <si>
    <t>Internet-facing interfaces of 
diagnostic equipment</t>
  </si>
  <si>
    <t>External hackers gain access to diagnostic 
equipment or transmitted data</t>
  </si>
  <si>
    <t>Billing software's portal</t>
  </si>
  <si>
    <t>Hackers access patient financial data 
through billing system</t>
  </si>
  <si>
    <t>Fraudulent Billing</t>
  </si>
  <si>
    <t>Internal access to billing software</t>
  </si>
  <si>
    <t>Manipulated billing data by insider for
 fraudulent charges</t>
  </si>
  <si>
    <t>System Outage</t>
  </si>
  <si>
    <t>Central server managing billing
 operations</t>
  </si>
  <si>
    <t>Billing software becomes unavailable 
due to IT failure</t>
  </si>
  <si>
    <t>Data integrity Loss</t>
  </si>
  <si>
    <t>Patient accounting software or 
database</t>
  </si>
  <si>
    <t>External attackers using malware</t>
  </si>
  <si>
    <t>Loss of patient accounting data due to 
malware</t>
  </si>
  <si>
    <t>Online portal or internal system</t>
  </si>
  <si>
    <t>Hackers gain access to patient accounting 
data for fraudulent purpose</t>
  </si>
  <si>
    <t>Centralized server</t>
  </si>
  <si>
    <t>Patient accounting system become 
unavailable due to server failure</t>
  </si>
  <si>
    <t>Non-Compliance Due to System Failure</t>
  </si>
  <si>
    <t>Central server managing 
compliance data</t>
  </si>
  <si>
    <t>Compliance system goes offline, preventing timley reporting</t>
  </si>
  <si>
    <t>Unauthorized Access to Regulatory Data</t>
  </si>
  <si>
    <t>Online portal or central system</t>
  </si>
  <si>
    <t>External hackers breach the system</t>
  </si>
  <si>
    <t>Compliance Database</t>
  </si>
  <si>
    <t>External attackers or internal system 
errors</t>
  </si>
  <si>
    <t xml:space="preserve">System corruption or malware </t>
  </si>
  <si>
    <t xml:space="preserve">Data Breach </t>
  </si>
  <si>
    <t>Online portals used for regulatory 
reporting</t>
  </si>
  <si>
    <t>Hackers access sensitive compliance 
and performance data through reporting tools</t>
  </si>
  <si>
    <t>Manipulation of Analytics Reports</t>
  </si>
  <si>
    <t>Internal access to the reporting reports</t>
  </si>
  <si>
    <t>Data used in regulatory reports is manipulated by insiders</t>
  </si>
  <si>
    <t>Internal IT infrastructure failure</t>
  </si>
  <si>
    <t>Reporting tools become unavailable due 
to server failure or technical issues</t>
  </si>
  <si>
    <t>Encryption Failure</t>
  </si>
  <si>
    <t>Data transmission channels or storage
 systems</t>
  </si>
  <si>
    <t>Internal system misconfiguration or 
external attackers</t>
  </si>
  <si>
    <t>Failure in encryption protocols leads to the exposure of sensitive patient data</t>
  </si>
  <si>
    <t>Unauthorized Access to Encyption Keys</t>
  </si>
  <si>
    <t>Key management system or server 
storing encryption keys</t>
  </si>
  <si>
    <t xml:space="preserve">Insider or hackers </t>
  </si>
  <si>
    <t>Insider or attackers gain access to 
encryption keys, allowing access of sensitive data</t>
  </si>
  <si>
    <t>Decryption via Brute Force Attack</t>
  </si>
  <si>
    <t>System where sensitive data is stored</t>
  </si>
  <si>
    <t>Attackers use brute force techniques to
break weak encryption algorithms</t>
  </si>
  <si>
    <t>Company’s survey database</t>
  </si>
  <si>
    <t>External threat actor</t>
  </si>
  <si>
    <t>Unauthorized access to the database where surveys are stored.</t>
  </si>
  <si>
    <t>Internal survey analysis platform</t>
  </si>
  <si>
    <t>Insider threat where an employee modifies survey data.</t>
  </si>
  <si>
    <t>Data Loss</t>
  </si>
  <si>
    <t>Company’s internal storage system</t>
  </si>
  <si>
    <t>System failure or accidental deletion.</t>
  </si>
  <si>
    <t>Competitive Analysis Report</t>
  </si>
  <si>
    <t>Corporate Espionage</t>
  </si>
  <si>
    <t>Company’s secure file storage</t>
  </si>
  <si>
    <t>External hacker</t>
  </si>
  <si>
    <t>External actors attempting to steal competitive intelligence.</t>
  </si>
  <si>
    <t>Email or other communication platforms</t>
  </si>
  <si>
    <t>Internal employee</t>
  </si>
  <si>
    <t>Internal staff leaking sensitive reports.</t>
  </si>
  <si>
    <t>Company’s network</t>
  </si>
  <si>
    <t>External attacker</t>
  </si>
  <si>
    <t>Malicious software infecting the system where reports are stored.</t>
  </si>
  <si>
    <t>Company’s document management system</t>
  </si>
  <si>
    <t>An unauthorized individual gains access to confidential campaign briefs.</t>
  </si>
  <si>
    <t>Internal document storage</t>
  </si>
  <si>
    <t>Accidental deletion or system failure results in the loss of campaign briefs.</t>
  </si>
  <si>
    <t>Intellectual Property Theft</t>
  </si>
  <si>
    <t>External network breach</t>
  </si>
  <si>
    <t>External competitor</t>
  </si>
  <si>
    <t>A competitor steals campaign ideas or strategies.</t>
  </si>
  <si>
    <t>Company’s design software or storage</t>
  </si>
  <si>
    <t>Malicious software or system failure corrupts creative files.</t>
  </si>
  <si>
    <t>Unauthorized Use</t>
  </si>
  <si>
    <t>Internal systems</t>
  </si>
  <si>
    <t>Internal staff or third parties use creative assets without proper authorization.</t>
  </si>
  <si>
    <t>A hacker gains access to stored creative assets and leaks them.</t>
  </si>
  <si>
    <t>Company’s file storage system</t>
  </si>
  <si>
    <t>Unauthorized individuals gain access to confidential brand guidelines.</t>
  </si>
  <si>
    <t>Internal network</t>
  </si>
  <si>
    <t>Malicious software corrupts the document files containing brand guidelines.</t>
  </si>
  <si>
    <t>Through a network breach or corporate espionage</t>
  </si>
  <si>
    <t>A competitor steals the brand guidelines to imitate brand identity.</t>
  </si>
  <si>
    <t>Through an external attack on the network</t>
  </si>
  <si>
    <t>Hackers gain access to the social media monitoring tools, exposing sensitive brand data.</t>
  </si>
  <si>
    <t>Within the company’s systems</t>
  </si>
  <si>
    <t>Internal staff or external actors use the monitoring tools for unauthorized purposes.</t>
  </si>
  <si>
    <t>Service Disruption</t>
  </si>
  <si>
    <t>At the service provider’s infrastructure</t>
  </si>
  <si>
    <t>DDoS attacks or system failures cause the social media monitoring tools to go offline.</t>
  </si>
  <si>
    <t>Through a compromised account or unpatched vulnerability</t>
  </si>
  <si>
    <t>Unauthorized access to analytics platforms exposing sensitive user data.</t>
  </si>
  <si>
    <t>Within the company’s analytics platform</t>
  </si>
  <si>
    <t>An attacker or insider alters website analytics data to mislead marketing decisions.</t>
  </si>
  <si>
    <t>Intentional/Accidental</t>
  </si>
  <si>
    <t>Company’s internal data storage</t>
  </si>
  <si>
    <t>System failure or cyberattack results in the loss of critical website analytics data.</t>
  </si>
  <si>
    <t>Through the company’s email marketing platform</t>
  </si>
  <si>
    <t>Hackers gain access to email lists and expose or misuse subscriber data.</t>
  </si>
  <si>
    <t>Within the company’s marketing department</t>
  </si>
  <si>
    <t>Internal employees misuse email lists for unauthorized marketing or personal gain.</t>
  </si>
  <si>
    <t>Company’s internal systems or the marketing platform</t>
  </si>
  <si>
    <t>Malicious software or human error corrupts the email marketing lists.</t>
  </si>
  <si>
    <t>Through a compromised account or unpatched software vulnerability</t>
  </si>
  <si>
    <t>An unauthorized user gains access to the marketing dashboards.</t>
  </si>
  <si>
    <t>An attacker or insider alters dashboard data to mislead performance analysis.</t>
  </si>
  <si>
    <t>Company’s IT infrastructure</t>
  </si>
  <si>
    <t>A system failure or DDoS attack causes the marketing dashboards to become inaccessible.</t>
  </si>
  <si>
    <t>A hacker gains access to sensitive ROI analysis reports.</t>
  </si>
  <si>
    <t>Within the company’s finance or marketing departments</t>
  </si>
  <si>
    <t>Malware or system failure corrupts the ROI analysis data.</t>
  </si>
  <si>
    <t>Company’s internal systems</t>
  </si>
  <si>
    <t>An insider uses the ROI analysis reports for unauthorized purposes or shares them externally.</t>
  </si>
  <si>
    <t>Unauthorized access to risk data</t>
  </si>
  <si>
    <t>Malicious insiders</t>
  </si>
  <si>
    <t>Exploiting lack of role-based access control</t>
  </si>
  <si>
    <t>Data loss due to system malfunction</t>
  </si>
  <si>
    <t>IT system</t>
  </si>
  <si>
    <t>System crash, lack of backups</t>
  </si>
  <si>
    <t>Data tampering</t>
  </si>
  <si>
    <t>Employees</t>
  </si>
  <si>
    <t>Weak access control</t>
  </si>
  <si>
    <t>Unauthorized modification</t>
  </si>
  <si>
    <t>Role-based access not properly enforced</t>
  </si>
  <si>
    <t>Data breach</t>
  </si>
  <si>
    <t>External systems</t>
  </si>
  <si>
    <t>Hackers</t>
  </si>
  <si>
    <t>Exploiting system vulnerabilities</t>
  </si>
  <si>
    <t>Data manipulation</t>
  </si>
  <si>
    <t>Injecting false threat data</t>
  </si>
  <si>
    <t>Unauthorized access</t>
  </si>
  <si>
    <t>Insufficient access controls</t>
  </si>
  <si>
    <t>Plan alteration by insider</t>
  </si>
  <si>
    <t>Weak document protection</t>
  </si>
  <si>
    <t>Inadequate logging protections</t>
  </si>
  <si>
    <t>Data deletion by unauthorized personnel</t>
  </si>
  <si>
    <t>Insufficient access logging</t>
  </si>
  <si>
    <t>Tampering with evidence</t>
  </si>
  <si>
    <t>Altering forensic data</t>
  </si>
  <si>
    <t>Data theft</t>
  </si>
  <si>
    <t>Exploiting vulnerabilities</t>
  </si>
  <si>
    <t>Non-compliance due to document loss</t>
  </si>
  <si>
    <t>Poor data management and backups</t>
  </si>
  <si>
    <t>Document tampering by insider</t>
  </si>
  <si>
    <t>Inadequate access controls</t>
  </si>
  <si>
    <t>Data tampering by unauthorized employees</t>
  </si>
  <si>
    <t>Weak access controls</t>
  </si>
  <si>
    <t>Unauthorized sharing of audit results</t>
  </si>
  <si>
    <t>Weak network security</t>
  </si>
  <si>
    <t>Unauthorized changes to policies</t>
  </si>
  <si>
    <t>Network vulnerabilities</t>
  </si>
  <si>
    <t>Data loss due to system failure</t>
  </si>
  <si>
    <t>IT System</t>
  </si>
  <si>
    <t>System malfunction</t>
  </si>
  <si>
    <t>Unauthorized access to training records</t>
  </si>
  <si>
    <t>Poor access control</t>
  </si>
  <si>
    <t>Unauthorized modifications</t>
  </si>
  <si>
    <t>Insufficient review of policies</t>
  </si>
  <si>
    <t>Policy document loss</t>
  </si>
  <si>
    <t>Poor documentation management</t>
  </si>
  <si>
    <t>Rare</t>
  </si>
  <si>
    <t>Unauthorized access to logs</t>
  </si>
  <si>
    <t>Insufficient monitoring</t>
  </si>
  <si>
    <t>Log deletion</t>
  </si>
  <si>
    <t>Exploiting lack of audit trail</t>
  </si>
  <si>
    <t>Identity Management System</t>
  </si>
  <si>
    <t>Identity theft</t>
  </si>
  <si>
    <t>Credential stuffing</t>
  </si>
  <si>
    <t>Poor password management practices</t>
  </si>
  <si>
    <t>Vendor Risk Assessment</t>
  </si>
  <si>
    <t>Vendors</t>
  </si>
  <si>
    <t>Lack of vendor security management</t>
  </si>
  <si>
    <t>Misrepresentation of vendor risk levels</t>
  </si>
  <si>
    <t>False vendor submissions</t>
  </si>
  <si>
    <t>Unauthorized modification of contracts</t>
  </si>
  <si>
    <t>Exploiting lack of document control</t>
  </si>
  <si>
    <t>Document tampering</t>
  </si>
  <si>
    <t>Insufficient document protection</t>
  </si>
  <si>
    <t>Loss of critical compliance documentation</t>
  </si>
  <si>
    <t>Lack of log integrity</t>
  </si>
  <si>
    <t>Company's HRM System</t>
  </si>
  <si>
    <t>External Attacker</t>
  </si>
  <si>
    <t>An attacker exploits a vulnerability in the company’s HR information system to gain unauthorized access to employee data.</t>
  </si>
  <si>
    <t xml:space="preserve">Cyberattack </t>
  </si>
  <si>
    <t xml:space="preserve">Attackers deploy ransomware  that infiltrates the HRM System, encrypting employee data and making it inaccessible </t>
  </si>
  <si>
    <t>Social Engineering</t>
  </si>
  <si>
    <t>Through company’s email platform</t>
  </si>
  <si>
    <t>HR staff are tricked into providing credentials via phishing emails</t>
  </si>
  <si>
    <t>Subjective Decision Making</t>
  </si>
  <si>
    <t>Within the recruitment team</t>
  </si>
  <si>
    <t>Internal</t>
  </si>
  <si>
    <t>A senior management unconsciously let personal biases affect their evaluations of candidates, resulting in biased hiring decisions and exclusion of qualified candidates.</t>
  </si>
  <si>
    <t>Reputation Damage</t>
  </si>
  <si>
    <t>HR document repository</t>
  </si>
  <si>
    <t>A candidate who had a negative experience with the recruitment process writes a detailed and public negative review on the company's social media page.</t>
  </si>
  <si>
    <t>Credential Theft</t>
  </si>
  <si>
    <t xml:space="preserve">Through company's internal network </t>
  </si>
  <si>
    <t>Both External &amp; Internal</t>
  </si>
  <si>
    <t>Credential theft targeting HR staff or IT personnel</t>
  </si>
  <si>
    <t>Physical Security Risk</t>
  </si>
  <si>
    <t xml:space="preserve">Inadequate physical security </t>
  </si>
  <si>
    <t>Insider manipulation</t>
  </si>
  <si>
    <t>Human Error</t>
  </si>
  <si>
    <t>Email errors by HR personnel</t>
  </si>
  <si>
    <t>Insider Fraud</t>
  </si>
  <si>
    <t>The employee exploits their access rights to make unauthorized changes</t>
  </si>
  <si>
    <t>Theft</t>
  </si>
  <si>
    <t>HR Database</t>
  </si>
  <si>
    <t>An unauthorized person infiltrates the network to access electronic copies of the documents.</t>
  </si>
  <si>
    <t xml:space="preserve">Phishing Attack </t>
  </si>
  <si>
    <t>The attacker impersonates a trusted individual, such as an IT support staff member, and convinces the employee to share their login details.</t>
  </si>
  <si>
    <t>Inadequate Data Encryption</t>
  </si>
  <si>
    <t>Failure to implement or maintain proper encryption standards for sensitive data.</t>
  </si>
  <si>
    <t>Company's HRM System and  survey platforms.</t>
  </si>
  <si>
    <t>Exploitation of stolen credentials</t>
  </si>
  <si>
    <t>Misuse of Privileged Access</t>
  </si>
  <si>
    <t>Admins misuse elevated access to modify or delete data, bypassing internal checks.</t>
  </si>
  <si>
    <t xml:space="preserve">Third-party Employee Engagement platform </t>
  </si>
  <si>
    <t>Attackers flood the system with traffic causing the platform to crash</t>
  </si>
  <si>
    <t>Malware Infection</t>
  </si>
  <si>
    <t>Malware is introduced through a malicious email attachment</t>
  </si>
  <si>
    <t>Dependency Risks on Third-Party Systems</t>
  </si>
  <si>
    <t>Both</t>
  </si>
  <si>
    <t>The third-party vendor experiences a server outage affecting the availability of the engagement platform.</t>
  </si>
  <si>
    <t>During the recruitment process</t>
  </si>
  <si>
    <t>Human error during file handling or system updates</t>
  </si>
  <si>
    <t>Outdated Software or Systems</t>
  </si>
  <si>
    <t>Company Social media page</t>
  </si>
  <si>
    <t>An attacker exploits a known vulnerability in the outdated software to gain unauthorized access to the separation agreements and documents</t>
  </si>
  <si>
    <t>Data Exposure</t>
  </si>
  <si>
    <t>Company's Employee Recruitment portal</t>
  </si>
  <si>
    <t>Failure to follow secure document disposal procedures, resulting in sensitive information being accessible to unauthorized individuals.</t>
  </si>
  <si>
    <t>Incomplete or Inaccurate Information</t>
  </si>
  <si>
    <t xml:space="preserve">Company's HRM System </t>
  </si>
  <si>
    <t>Errors during manual log entries</t>
  </si>
  <si>
    <t xml:space="preserve">Exploitation of network vulnerabilities </t>
  </si>
  <si>
    <t>Company's Internal Systems</t>
  </si>
  <si>
    <t>System crash leading to loss of logs and reports</t>
  </si>
  <si>
    <t xml:space="preserve">Compliance Violations </t>
  </si>
  <si>
    <t xml:space="preserve">Access control logging systems </t>
  </si>
  <si>
    <t>Failure to regularly review and update policies</t>
  </si>
  <si>
    <t>Data corruption in HRM Systems where policies are stored</t>
  </si>
  <si>
    <t>System Vulnerabilities</t>
  </si>
  <si>
    <t>An attacker exploits an unpatched software vulnerability in the HRM System to gain unauthorized access</t>
  </si>
  <si>
    <t>Physical Damage to IT Infrastructure</t>
  </si>
  <si>
    <t>Server Room</t>
  </si>
  <si>
    <t>An event such as a fire, flood, or severe weather conditions damages the physical IT infrastructure, including servers or data storage devices where training documents are stored.</t>
  </si>
  <si>
    <t>Software glitch</t>
  </si>
  <si>
    <t>Company's Knowledge Management system</t>
  </si>
  <si>
    <t>Misconfigured access control</t>
  </si>
  <si>
    <t>Access control settings are  incorrectly configured, allowing individuals without proper permissions to view or modify the training documents.</t>
  </si>
  <si>
    <t>Database servers
Application servers
Employee access terminals</t>
  </si>
  <si>
    <t>Phishing / spear-phishing</t>
  </si>
  <si>
    <t>Data leak</t>
  </si>
  <si>
    <r>
      <rPr>
        <sz val="11"/>
        <color theme="1"/>
        <rFont val="Calibri"/>
        <family val="2"/>
        <scheme val="minor"/>
      </rPr>
      <t>Employee access terminals</t>
    </r>
    <r>
      <rPr>
        <i/>
        <sz val="11"/>
        <color theme="1"/>
        <rFont val="Calibri"/>
        <family val="2"/>
        <scheme val="minor"/>
      </rPr>
      <t xml:space="preserve">
</t>
    </r>
    <r>
      <rPr>
        <sz val="11"/>
        <color theme="1"/>
        <rFont val="Calibri"/>
        <family val="2"/>
        <scheme val="minor"/>
      </rPr>
      <t>Communication channels</t>
    </r>
  </si>
  <si>
    <t>Clumsiness
Failure to follow SOP</t>
  </si>
  <si>
    <t>Data tampering (sabotage)</t>
  </si>
  <si>
    <t>On Purpose</t>
  </si>
  <si>
    <t>External attackers
Employees</t>
  </si>
  <si>
    <r>
      <rPr>
        <i/>
        <sz val="11"/>
        <color theme="1"/>
        <rFont val="Calibri"/>
        <family val="2"/>
        <scheme val="minor"/>
      </rPr>
      <t>External attackers</t>
    </r>
    <r>
      <rPr>
        <sz val="11"/>
        <color theme="1"/>
        <rFont val="Calibri"/>
        <family val="2"/>
        <scheme val="minor"/>
      </rPr>
      <t xml:space="preserve">: After achieving Loss of Confidentiality
</t>
    </r>
    <r>
      <rPr>
        <i/>
        <sz val="11"/>
        <color theme="1"/>
        <rFont val="Calibri"/>
        <family val="2"/>
        <scheme val="minor"/>
      </rPr>
      <t>Employees</t>
    </r>
    <r>
      <rPr>
        <sz val="11"/>
        <color theme="1"/>
        <rFont val="Calibri"/>
        <family val="2"/>
        <scheme val="minor"/>
      </rPr>
      <t>: Abuse of access privileges</t>
    </r>
  </si>
  <si>
    <t>Hardware failure</t>
  </si>
  <si>
    <r>
      <t xml:space="preserve">Employees
</t>
    </r>
    <r>
      <rPr>
        <i/>
        <sz val="11"/>
        <color theme="1"/>
        <rFont val="Calibri"/>
        <family val="2"/>
        <scheme val="minor"/>
      </rPr>
      <t>Force majeure</t>
    </r>
  </si>
  <si>
    <r>
      <t xml:space="preserve">Employees: </t>
    </r>
    <r>
      <rPr>
        <sz val="11"/>
        <color theme="1"/>
        <rFont val="Calibri"/>
        <family val="2"/>
        <scheme val="minor"/>
      </rPr>
      <t>failure to properly maintain the hardware</t>
    </r>
  </si>
  <si>
    <t>Data corruption</t>
  </si>
  <si>
    <t>Database servers
Application servers</t>
  </si>
  <si>
    <r>
      <rPr>
        <i/>
        <sz val="11"/>
        <color theme="1"/>
        <rFont val="Calibri"/>
        <family val="2"/>
        <scheme val="minor"/>
      </rPr>
      <t>Employees</t>
    </r>
    <r>
      <rPr>
        <sz val="11"/>
        <color theme="1"/>
        <rFont val="Calibri"/>
        <family val="2"/>
        <scheme val="minor"/>
      </rPr>
      <t>: Server misconfiguration</t>
    </r>
  </si>
  <si>
    <t>DoS/DDoS attack</t>
  </si>
  <si>
    <t>Company website for users/customers to access their data.</t>
  </si>
  <si>
    <t>DDoS attack floods servers with junk requests, effectively blocking legitimate requests by customers.</t>
  </si>
  <si>
    <r>
      <rPr>
        <sz val="11"/>
        <color theme="1"/>
        <rFont val="Calibri"/>
        <family val="2"/>
        <scheme val="minor"/>
      </rPr>
      <t xml:space="preserve">Minor
</t>
    </r>
  </si>
  <si>
    <t>Ransomware attack</t>
  </si>
  <si>
    <r>
      <t xml:space="preserve">After achieving </t>
    </r>
    <r>
      <rPr>
        <sz val="11"/>
        <color theme="1"/>
        <rFont val="Calibri"/>
        <family val="2"/>
        <scheme val="minor"/>
      </rPr>
      <t>Loss of Confidentiality</t>
    </r>
  </si>
  <si>
    <t>Hardware sabotage</t>
  </si>
  <si>
    <t>Company hardware</t>
  </si>
  <si>
    <t>Physical destruction of company hardware, or malicious physical sabotage designed to cause short-term and/or long-term damage</t>
  </si>
  <si>
    <r>
      <t>Employees</t>
    </r>
    <r>
      <rPr>
        <sz val="11"/>
        <color theme="1"/>
        <rFont val="Calibri"/>
        <family val="2"/>
        <scheme val="minor"/>
      </rPr>
      <t>: Server misconfiguration</t>
    </r>
  </si>
  <si>
    <t>Database servers
Application servers
Employee access terminals
Laboratory instruments</t>
  </si>
  <si>
    <t>Laboratory instruments</t>
  </si>
  <si>
    <t>Database servers
Application servers
Laboratory instruments</t>
  </si>
  <si>
    <t>Insider theft</t>
  </si>
  <si>
    <t>Abuse of access privileges
Theft of another employee's access privileges</t>
  </si>
  <si>
    <t>Vendor  Assessment Reports</t>
  </si>
  <si>
    <t>Data manipulation by staff</t>
  </si>
  <si>
    <t>Staff</t>
  </si>
  <si>
    <t>Editing financial projections in financial software</t>
  </si>
  <si>
    <t>Hacking into forecast systems</t>
  </si>
  <si>
    <t>External network</t>
  </si>
  <si>
    <t>System failure causing loss of data</t>
  </si>
  <si>
    <t>Internal system</t>
  </si>
  <si>
    <t>System crash, no backup procedures</t>
  </si>
  <si>
    <t>Unauthorized access to budget data</t>
  </si>
  <si>
    <t>Data loss due to system error</t>
  </si>
  <si>
    <t>System crash, lack of data backup</t>
  </si>
  <si>
    <t>External breach into budget systems</t>
  </si>
  <si>
    <t>Exploiting insufficient access controls</t>
  </si>
  <si>
    <t>Hacking into performance report systems</t>
  </si>
  <si>
    <t>System failure leading to loss of reports</t>
  </si>
  <si>
    <t>System crash, lack of backup</t>
  </si>
  <si>
    <t>Employee fraud manipulating payment records</t>
  </si>
  <si>
    <t>Exploiting weak controls</t>
  </si>
  <si>
    <t>Data theft by external hackers</t>
  </si>
  <si>
    <t>Cybercriminals</t>
  </si>
  <si>
    <t>Hacking systems through phishing</t>
  </si>
  <si>
    <t>System malfunction causing payment errors</t>
  </si>
  <si>
    <t>System crash, no backups</t>
  </si>
  <si>
    <t>Ransomware attack on billing system</t>
  </si>
  <si>
    <t>Infiltrating systems via malware</t>
  </si>
  <si>
    <t>Unauthorized employee access to billing data</t>
  </si>
  <si>
    <t>Lack of monitoring or access controls</t>
  </si>
  <si>
    <t>External hackers stealing billing data</t>
  </si>
  <si>
    <t>Hacking systems via phishing or malware</t>
  </si>
  <si>
    <t>Data manipulation by employees</t>
  </si>
  <si>
    <t>External breach to steal revenue data</t>
  </si>
  <si>
    <t>System malfunction leading to data loss</t>
  </si>
  <si>
    <t>Fraudulent vendor payments by employees</t>
  </si>
  <si>
    <t>Lack of segregation of duties</t>
  </si>
  <si>
    <t>External hackers intercepting payment data</t>
  </si>
  <si>
    <t>Man-in-the-middle attack</t>
  </si>
  <si>
    <t>System failure causing AP data corruption</t>
  </si>
  <si>
    <t>Employee data theft</t>
  </si>
  <si>
    <t>Exploiting weak access controls</t>
  </si>
  <si>
    <t>Payroll fraud by unauthorized changes</t>
  </si>
  <si>
    <t>Exploiting weak monitoring controls</t>
  </si>
  <si>
    <t>System failure leading to payroll delays</t>
  </si>
  <si>
    <t>System failure, lack of backup</t>
  </si>
  <si>
    <t>Unauthorized access to vendor contracts</t>
  </si>
  <si>
    <t>Exploiting lack of access controls</t>
  </si>
  <si>
    <t>Hacking into systems</t>
  </si>
  <si>
    <t>System errors causing contract data loss</t>
  </si>
  <si>
    <t>Unauthorized access to tax records</t>
  </si>
  <si>
    <t>Data breach by external hackers</t>
  </si>
  <si>
    <t>System failure leading to loss of tax data</t>
  </si>
  <si>
    <t>System crash, no backup</t>
  </si>
  <si>
    <t>Tampering with audit reports by staff</t>
  </si>
  <si>
    <t>Weak internal controls</t>
  </si>
  <si>
    <t>Phishing, malware</t>
  </si>
  <si>
    <t>System errors causing loss of audit data</t>
  </si>
  <si>
    <t>No backup, system failure</t>
  </si>
  <si>
    <t>Weak controls, lack of segregation of duties</t>
  </si>
  <si>
    <t>External breach to steal investment data</t>
  </si>
  <si>
    <t>System vulnerabilities</t>
  </si>
  <si>
    <t>System failure causing data loss</t>
  </si>
  <si>
    <t>Lack of backup procedures</t>
  </si>
  <si>
    <t>Data manipulation by internal staff</t>
  </si>
  <si>
    <t>External breach to steal budget data</t>
  </si>
  <si>
    <t>System failure causing loss of capital budget data</t>
  </si>
  <si>
    <t>Lack of backup, system crash</t>
  </si>
  <si>
    <t>External hackers stealing ROI data</t>
  </si>
  <si>
    <t>System errors causing loss of ROI data</t>
  </si>
  <si>
    <t>No backups, system failure</t>
  </si>
  <si>
    <t>Tax Filings</t>
  </si>
  <si>
    <t>Unauthorized access to tax filing data</t>
  </si>
  <si>
    <t>External breach to steal tax filing data</t>
  </si>
  <si>
    <t>System failure leading to loss of filings</t>
  </si>
  <si>
    <t>System crash, lack of backup procedures</t>
  </si>
  <si>
    <t>Hospital Database</t>
  </si>
  <si>
    <t>External Cybercriminals</t>
  </si>
  <si>
    <t>Phishing attacks to gain access to medical records</t>
  </si>
  <si>
    <t>Email Communication</t>
  </si>
  <si>
    <t>Internal Staff</t>
  </si>
  <si>
    <t>Sending patient data through unsecured email</t>
  </si>
  <si>
    <t>Data Tampering</t>
  </si>
  <si>
    <t>Hospital IT System</t>
  </si>
  <si>
    <t>Disgruntled Employees</t>
  </si>
  <si>
    <t>Employees with elevated access rights altering patient records</t>
  </si>
  <si>
    <t xml:space="preserve">IT Infrastructure Data	</t>
  </si>
  <si>
    <t>System Failure</t>
  </si>
  <si>
    <t>Data Center</t>
  </si>
  <si>
    <t>IT Staff</t>
  </si>
  <si>
    <t>Misconfiguration of critical systems</t>
  </si>
  <si>
    <t>IT Infrastructure</t>
  </si>
  <si>
    <t>System malfunction or improper backups</t>
  </si>
  <si>
    <t>Monitoring Systems</t>
  </si>
  <si>
    <t>Compliance System</t>
  </si>
  <si>
    <t>System crash without proper backups</t>
  </si>
  <si>
    <t>Malicious Insider</t>
  </si>
  <si>
    <t>Modifying monitoring data to hide non-compliance issues</t>
  </si>
  <si>
    <t xml:space="preserve">Risk Mitigation Plans	</t>
  </si>
  <si>
    <t>Hackers gain access to sensitive risk mitigation strategies</t>
  </si>
  <si>
    <t>System failure without recovery plan</t>
  </si>
  <si>
    <t>Altering risk mitigation plans to create vulnerabilities</t>
  </si>
  <si>
    <t>Risk Control Systems</t>
  </si>
  <si>
    <t>Access to risk control system via stolen credentials</t>
  </si>
  <si>
    <t>IT System Failure</t>
  </si>
  <si>
    <t>System crash or accidental deletion</t>
  </si>
  <si>
    <t>Unauthorized internal changes to control measures</t>
  </si>
  <si>
    <t>IT Systems</t>
  </si>
  <si>
    <t>Modifying incident logs to cover up breaches</t>
  </si>
  <si>
    <t>Logs not properly backed up, leading to loss of critical data</t>
  </si>
  <si>
    <t>Altering logs to remove traces of incidents</t>
  </si>
  <si>
    <t xml:space="preserve">Crisis Management Plans	</t>
  </si>
  <si>
    <t>Hackers gain access to crisis management plans</t>
  </si>
  <si>
    <t>Lack of proper backups leads to loss of crisis management data</t>
  </si>
  <si>
    <t>Hackers lock crisis plans and demand a ransom</t>
  </si>
  <si>
    <t>Hackers steal emergency response guidelines</t>
  </si>
  <si>
    <t>Data corruption due to system malfunction</t>
  </si>
  <si>
    <t>Accidental deletion or failure in backup systems</t>
  </si>
  <si>
    <t>Hackers access communication templates and misuse them</t>
  </si>
  <si>
    <t>Corruption of data due to system failure</t>
  </si>
  <si>
    <t>Loss of communication templates due to failed backups</t>
  </si>
  <si>
    <t>Employees alter compliance reports to hide violations</t>
  </si>
  <si>
    <t>System malfunction leading to loss of reports</t>
  </si>
  <si>
    <t>Hackers access and leak compliance reports</t>
  </si>
  <si>
    <t>Hackers access sensitive audit records</t>
  </si>
  <si>
    <t>Alteration of regulatory audit data</t>
  </si>
  <si>
    <t>Failure to properly back up audit records</t>
  </si>
  <si>
    <t xml:space="preserve">	Risk Communication Tools</t>
  </si>
  <si>
    <t>Hackers access and misuse risk communication tools</t>
  </si>
  <si>
    <t>Employees modify communication tools</t>
  </si>
  <si>
    <t>Data corruption due to technical errors</t>
  </si>
  <si>
    <t>Attackers access risk awareness content</t>
  </si>
  <si>
    <t>System failure leading to loss of awareness materials</t>
  </si>
  <si>
    <t>Alteration of risk awareness content</t>
  </si>
  <si>
    <t xml:space="preserve">	Risk Response Guidelines</t>
  </si>
  <si>
    <t>Hackers gain unauthorized access to risk response guidelines</t>
  </si>
  <si>
    <t>System malfunction leads to accidental loss of response data</t>
  </si>
  <si>
    <t>Internal Systems</t>
  </si>
  <si>
    <t>Internal staff alter response guidelines to disrupt mitigation</t>
  </si>
  <si>
    <t>Hackers gain access to incident response plans</t>
  </si>
  <si>
    <t>Ransomware locks access to incident response plans</t>
  </si>
  <si>
    <t>Data corruption due to a system malfunction</t>
  </si>
  <si>
    <t>Asset Number</t>
  </si>
  <si>
    <t>Asset Value Assumption</t>
  </si>
  <si>
    <t>Threat</t>
  </si>
  <si>
    <t>Political Impact</t>
  </si>
  <si>
    <t>Time to recover from a threat (In days)</t>
  </si>
  <si>
    <t>Consequence</t>
  </si>
  <si>
    <t>Exposure Factor (%)</t>
  </si>
  <si>
    <t>Single-Loss Expectancy 
(Asset Value x EF)</t>
  </si>
  <si>
    <t>Annualized Rate of Occurrence (ARO)</t>
  </si>
  <si>
    <t>Annual Loss Expectancy (SLE x ARO)</t>
  </si>
  <si>
    <t>Cost of Loss against Threat</t>
  </si>
  <si>
    <t>High</t>
  </si>
  <si>
    <t>Manuplation of Data</t>
  </si>
  <si>
    <t>Low</t>
  </si>
  <si>
    <t>Unauthorized Access to Sensitive Health Data</t>
  </si>
  <si>
    <t>Equipment malfunction</t>
  </si>
  <si>
    <t>Data Transmission Failure</t>
  </si>
  <si>
    <t>Unauthorized Access to Diagnostic Data</t>
  </si>
  <si>
    <t>Manipulation of Analytical Reports</t>
  </si>
  <si>
    <t>Unauthorized Access to Encryption Keys</t>
  </si>
  <si>
    <t>External data theft of compliance documents</t>
  </si>
  <si>
    <t>Unauthorized modification of compliance data</t>
  </si>
  <si>
    <t>System failure causing loss of compliance data</t>
  </si>
  <si>
    <t>System Malfunction</t>
  </si>
  <si>
    <t>Data Deletion</t>
  </si>
  <si>
    <t>Risk statement</t>
  </si>
  <si>
    <t>TRA ID</t>
  </si>
  <si>
    <t>Threats/Threat Vector(s)</t>
  </si>
  <si>
    <t>Information Assets affected</t>
  </si>
  <si>
    <t>Intentional or Accidental</t>
  </si>
  <si>
    <t>Threat vector</t>
  </si>
  <si>
    <t>Vulnerability</t>
  </si>
  <si>
    <t>Consequence before Controls</t>
  </si>
  <si>
    <t>Untreated Risk rating</t>
  </si>
  <si>
    <t>Controls</t>
  </si>
  <si>
    <t>Cost of Control</t>
  </si>
  <si>
    <t xml:space="preserve">Consequence After Control </t>
  </si>
  <si>
    <t>Treated Risk Rating</t>
  </si>
  <si>
    <t>Control worth Implementing (Yes/No)?</t>
  </si>
  <si>
    <t>External</t>
  </si>
  <si>
    <t>Confidentiality</t>
  </si>
  <si>
    <t>Integrity</t>
  </si>
  <si>
    <t>Availibilty</t>
  </si>
  <si>
    <t>Time (days)</t>
  </si>
  <si>
    <t>Cost $ (Loss value)</t>
  </si>
  <si>
    <t>Political H/M/L</t>
  </si>
  <si>
    <t xml:space="preserve">% residual </t>
  </si>
  <si>
    <t xml:space="preserve">Cost $ </t>
  </si>
  <si>
    <t>Control Worth Implementing (Yes/No)</t>
  </si>
  <si>
    <t>Failure in the IT operational environment</t>
  </si>
  <si>
    <t>T1</t>
  </si>
  <si>
    <t>Service Provider Compromised</t>
  </si>
  <si>
    <t>N</t>
  </si>
  <si>
    <t>Y</t>
  </si>
  <si>
    <t>Insufficient vetting and monitoring of service providers, Reliance on third-party security measures that may not meet internal standards.</t>
  </si>
  <si>
    <t>10 to 20</t>
  </si>
  <si>
    <t>M</t>
  </si>
  <si>
    <t>Conduct security audits of providers.
Enforce strict access controls and data segmentation.</t>
  </si>
  <si>
    <t>5 to 10</t>
  </si>
  <si>
    <t>T2</t>
  </si>
  <si>
    <t>Data Loss / Corruption</t>
  </si>
  <si>
    <t>Maintenance &amp; Caibration Records</t>
  </si>
  <si>
    <t>Inadequate or faulty backup and recovery systems, Vulnerabilities in data storage and transfer protocols.</t>
  </si>
  <si>
    <t>7 to 14</t>
  </si>
  <si>
    <t>Implement robust backup and recovery protocols.
Regularly test backup systems.</t>
  </si>
  <si>
    <t>L</t>
  </si>
  <si>
    <t>T3</t>
  </si>
  <si>
    <t>Human errors in system configuration settings, Inadequate change management and update procedures.</t>
  </si>
  <si>
    <t>15 to 30</t>
  </si>
  <si>
    <t>Standardise configuration management.
Perform regular system audits.</t>
  </si>
  <si>
    <t xml:space="preserve"> </t>
  </si>
  <si>
    <t>T4</t>
  </si>
  <si>
    <t>System / Equipment Failure</t>
  </si>
  <si>
    <t>Poor maintenance of hardware and infrastructure, Lack of redundancy and fault tolerance in critical systems.</t>
  </si>
  <si>
    <t>1to 5</t>
  </si>
  <si>
    <t>Schedule regular maintenance and replacements.
Monitor system health continuously.</t>
  </si>
  <si>
    <t>1-2</t>
  </si>
  <si>
    <t>T5</t>
  </si>
  <si>
    <t>Payroll data</t>
  </si>
  <si>
    <t>Flaws in encryption algorithms and implementation, Mismanagement of cryptographic keys and certificates.</t>
  </si>
  <si>
    <t>7 to 15</t>
  </si>
  <si>
    <t>H</t>
  </si>
  <si>
    <t>Use strong encryption protocols.
Securely manage and rotate encryption keys.</t>
  </si>
  <si>
    <t>4 to 8</t>
  </si>
  <si>
    <t>T6</t>
  </si>
  <si>
    <t>Malware</t>
  </si>
  <si>
    <t>Accounts Receivable(AR)</t>
  </si>
  <si>
    <t>Inadequate protective measures against evolving malware threats, Delays in updating anti-malware software and definitions.</t>
  </si>
  <si>
    <t>Deploy advanced malware protection tools.
Conduct regular system scans for vulnerabilities.</t>
  </si>
  <si>
    <t>3 to 5</t>
  </si>
  <si>
    <t>T7</t>
  </si>
  <si>
    <t>Outdated System</t>
  </si>
  <si>
    <t>Perfomance Reports</t>
  </si>
  <si>
    <t>Lack of compatibility with newer software and security patches, Increased risk of system failures due to unsupported hardware and software.</t>
  </si>
  <si>
    <t>Implement a lifecycle management policy.
Regularly update and replace outdated systems.</t>
  </si>
  <si>
    <t>T8</t>
  </si>
  <si>
    <t>Governance, legal compliance documents, business legal cases</t>
  </si>
  <si>
    <t>Implement backup, disaster recovery</t>
  </si>
  <si>
    <t>Inappropriate access to systems &amp; data</t>
  </si>
  <si>
    <t>T9</t>
  </si>
  <si>
    <t>Weak authentication methods
Inadequate access controls and permissions</t>
  </si>
  <si>
    <t>10 to 15</t>
  </si>
  <si>
    <t>RBAC (Role-based access control), 
PoLP (Principle of least privilege) and Implement robust authentication mechanisms.</t>
  </si>
  <si>
    <t>T10</t>
  </si>
  <si>
    <t>Lack of data classification and handling policies
Weak monitoring and detection of unusual access patterns</t>
  </si>
  <si>
    <t>Conduct regular security training and awareness programs, Secure sensitive information through data classification and encryption.</t>
  </si>
  <si>
    <t>T11</t>
  </si>
  <si>
    <t>Corporate Stategy Document</t>
  </si>
  <si>
    <t>Insufficient data encryption
Improper data storage and disposal practices</t>
  </si>
  <si>
    <t>RBAC (Role-based access control), 
PoLP (Principle of least privilege), Use data loss prevention (DLP) tools.</t>
  </si>
  <si>
    <t>15 to 25</t>
  </si>
  <si>
    <t>T12</t>
  </si>
  <si>
    <t>Excessive user privileges
Lack of user activity monitoring and logging</t>
  </si>
  <si>
    <t xml:space="preserve">15 to 20 </t>
  </si>
  <si>
    <t>RBAC (Role-based access control), 
PoLP (Principle of least privilege) and Perform regular user activity monitoring.</t>
  </si>
  <si>
    <t>T13</t>
  </si>
  <si>
    <t>Cyber Attack</t>
  </si>
  <si>
    <t xml:space="preserve"> Employee Record</t>
  </si>
  <si>
    <t>Unprotected network entry points
Software and hardware vulnerabilities</t>
  </si>
  <si>
    <t>20 to 30</t>
  </si>
  <si>
    <t>Network segmentation to limit malware spread, Anti-malware software and 3-2-1 backup systems.</t>
  </si>
  <si>
    <t>15 to 20</t>
  </si>
  <si>
    <t>T14</t>
  </si>
  <si>
    <t>-</t>
  </si>
  <si>
    <t>Inadequate physical security measures
Unsecured physical access to critical areas</t>
  </si>
  <si>
    <t>Enhance physical security measures, Use device encryption and remote wipe capabilities.</t>
  </si>
  <si>
    <t>T15</t>
  </si>
  <si>
    <t>Lack of integrity checks and balances
Weak user authentication and authorization mechanisms</t>
  </si>
  <si>
    <t xml:space="preserve">RBAC (Role-based access control), 
PoLP (Principle of least privilege), Implement transaction integrity checks and version controls.
</t>
  </si>
  <si>
    <t>5-10</t>
  </si>
  <si>
    <t>T16</t>
  </si>
  <si>
    <t xml:space="preserve">Unauthorized access </t>
  </si>
  <si>
    <t>Access log relating to systems access and IT applications and cofigrations.</t>
  </si>
  <si>
    <t xml:space="preserve">5 to 8 </t>
  </si>
  <si>
    <t>Conduct security awareness training focusing on social engineering tactics, Implement multi-factor authentication (MFA).</t>
  </si>
  <si>
    <t>T17</t>
  </si>
  <si>
    <t>Data Theft</t>
  </si>
  <si>
    <t>Unsecured data storage locations
Inadequate data access logging
Poor endpoint security</t>
  </si>
  <si>
    <t xml:space="preserve">RBAC (Role-based access control), 
PoLP (Principle of least privilege) and Secure databases and storage locations.
</t>
  </si>
  <si>
    <t>3-7</t>
  </si>
  <si>
    <t>T18</t>
  </si>
  <si>
    <t>Insufficient intrusion detection and response mechanisms</t>
  </si>
  <si>
    <t>45 to 90</t>
  </si>
  <si>
    <t>Implement incident response plans, Regularly conduct penetration testing and security assessments.</t>
  </si>
  <si>
    <t>15-30</t>
  </si>
  <si>
    <t>T19</t>
  </si>
  <si>
    <t>Compliance Monitoring Systems</t>
  </si>
  <si>
    <t>Lack of automated configuration management tools
Poor management of changes and updates</t>
  </si>
  <si>
    <t>12 to 32</t>
  </si>
  <si>
    <t>Use automated configuration management tools, Conduct frequent configuration audits.</t>
  </si>
  <si>
    <t>15 - 30</t>
  </si>
  <si>
    <t>T20</t>
  </si>
  <si>
    <t xml:space="preserve">Billing Data
</t>
  </si>
  <si>
    <t>Mismanagement of encryption keys
Lack of end-to-end encryption in data transmission</t>
  </si>
  <si>
    <t>7 to 12</t>
  </si>
  <si>
    <t>Employ strong, up-to-date encryption standards, Regularly review and renew cryptographic practices.</t>
  </si>
  <si>
    <t>T21</t>
  </si>
  <si>
    <t>Reputational Damage</t>
  </si>
  <si>
    <t>Poor handling of data privacy concerns
Inadequate response plans for security incidents
Insufficient communication strategies during crises</t>
  </si>
  <si>
    <t>30 to 45</t>
  </si>
  <si>
    <t>Develop a crisis communication plan, Maintain transparency with stakeholders.</t>
  </si>
  <si>
    <t>T22</t>
  </si>
  <si>
    <t>Phishing vulnerabilities
Insecure storage of credentials
Insufficient multi-factor authentication</t>
  </si>
  <si>
    <t>Enforce strong password policies and multi-factor authentication, Regularly audit and rotate credentials.</t>
  </si>
  <si>
    <t>T23</t>
  </si>
  <si>
    <t>Risk Mitigation Plan</t>
  </si>
  <si>
    <t>Unmonitored access points
Lack of environmental controls (e.g., fire, flood)
Poorly enforced visitor access policies</t>
  </si>
  <si>
    <t>Restrict physical access to critical areas, 
Implement surveillance and monitoring systems.</t>
  </si>
  <si>
    <t>15-20</t>
  </si>
  <si>
    <t>T24</t>
  </si>
  <si>
    <t>Lack of regular training on security best practices
Inadequate tools for secure data handling</t>
  </si>
  <si>
    <t xml:space="preserve">10 to 20 </t>
  </si>
  <si>
    <t>RBAC (Role-based access control) , 
PoLP (Principle of least privilege) and Provide regular training on security best practices.</t>
  </si>
  <si>
    <t>T25</t>
  </si>
  <si>
    <t>Excessive admin rights
Lack of regular reviews of user privileges</t>
  </si>
  <si>
    <t>5 to 25</t>
  </si>
  <si>
    <t>Monitor and audit privileged user actions, Implement privileged access management (PAM) solution</t>
  </si>
  <si>
    <t>T26</t>
  </si>
  <si>
    <t>Insufficient anti-malware solutions
Lack of regular security audits and updates</t>
  </si>
  <si>
    <t>Use anti-malware software and keep it updated, Block access to malicious websites and downloads.</t>
  </si>
  <si>
    <t>T27</t>
  </si>
  <si>
    <t>Regulatory Compliance Violation</t>
  </si>
  <si>
    <t>Lack of knowledge about applicable regulations
Inadequate documentation and reporting processes</t>
  </si>
  <si>
    <t>Keep abreast of regulatory requirements, Implement compliance tracking and reporting mechanisms.</t>
  </si>
  <si>
    <t>T28</t>
  </si>
  <si>
    <t>T29</t>
  </si>
  <si>
    <t>Identify theft</t>
  </si>
  <si>
    <t xml:space="preserve">Identity Management System
</t>
  </si>
  <si>
    <t>Phishing attack, Data breaches</t>
  </si>
  <si>
    <t xml:space="preserve">8 to 10 </t>
  </si>
  <si>
    <t>Strong authentication, MFA, user activity monitoring</t>
  </si>
  <si>
    <t>T30</t>
  </si>
  <si>
    <t>Investigative Outcomes,Legal Cases and Admissibility of Evidence</t>
  </si>
  <si>
    <t xml:space="preserve">10 to 12 </t>
  </si>
  <si>
    <t>Encrypt forensic data, access control</t>
  </si>
  <si>
    <t xml:space="preserve">Lack of data integrity </t>
  </si>
  <si>
    <t>T31</t>
  </si>
  <si>
    <t>Weak or reused passwords, Inadequate access control mechanisms and Insufficient network security measures.</t>
  </si>
  <si>
    <t>RBAC (Role-based access control) and 
PoLP (Principle of least privilege)
Implement multi-factor authentication (MFA).</t>
  </si>
  <si>
    <t>T32</t>
  </si>
  <si>
    <t xml:space="preserve">Annual Reports to board members
</t>
  </si>
  <si>
    <t>Excessive permissions for employees, Lack of user activity monitoring and Poor segregation of duties</t>
  </si>
  <si>
    <t>RBAC (Role-based access control) and 
PoLP (Principle of least privilege)</t>
  </si>
  <si>
    <t>T33</t>
  </si>
  <si>
    <t>Unpatched software vulnerabilities, Insecure network infrastructure and Lack of effective intrusion detection systems</t>
  </si>
  <si>
    <t>6 to 14</t>
  </si>
  <si>
    <t>Network segmentation to limit malware spread.
Anti-malware software.
3-2-1 backup systems.</t>
  </si>
  <si>
    <t>T34</t>
  </si>
  <si>
    <t>Lack of data validation and integrity checks, 
Insufficient logging and monitoring of data changes</t>
  </si>
  <si>
    <t>3 to 7</t>
  </si>
  <si>
    <t>T35</t>
  </si>
  <si>
    <t>Inadequate backup and recovery procedures, Use of outdated  hardware, Poor handling and storage of data media</t>
  </si>
  <si>
    <t>7 to 10</t>
  </si>
  <si>
    <t>Establish robust backup and recovery procedures.
Use error-checking tools to detect and repair data corruption.</t>
  </si>
  <si>
    <t>T36</t>
  </si>
  <si>
    <t>Inadequate training on security awareness, 
Weak verification processes for identity and access management</t>
  </si>
  <si>
    <t>Provide ongoing security awareness training.
Develop protocols for verifying identity over communications.</t>
  </si>
  <si>
    <t>T37</t>
  </si>
  <si>
    <t>Insecure data storage and transmission, Insufficient encryption of sensitive data</t>
  </si>
  <si>
    <t>Implement comprehensive data encryption.
Establish an incident response team and action plan.</t>
  </si>
  <si>
    <t>T38</t>
  </si>
  <si>
    <t>Inadequate change management procedures, Poorly configured data handling and processing systems</t>
  </si>
  <si>
    <t>8 to 12</t>
  </si>
  <si>
    <t>Utilize configuration management tools.
Conduct regular configuration and compliance audits.</t>
  </si>
  <si>
    <t>5 to 9</t>
  </si>
  <si>
    <t>T39</t>
  </si>
  <si>
    <t>Fraud</t>
  </si>
  <si>
    <t>Lack of fraud detection mechanisms, 
Weak internal controls and oversight</t>
  </si>
  <si>
    <t>Regularly review and audit user and system activities.</t>
  </si>
  <si>
    <t>T40</t>
  </si>
  <si>
    <t>Unsecure storage of credentials, Lack of multi-factor authentication for critical systems</t>
  </si>
  <si>
    <t>5 to 20</t>
  </si>
  <si>
    <t>Educate employees on secure password practices.
Enforce regular password changes and use of password managers.</t>
  </si>
  <si>
    <t>T41</t>
  </si>
  <si>
    <t>Uncontrolled access to data centers and server rooms, Lack of surveillance systems in sensitive areas</t>
  </si>
  <si>
    <t>Regular review of policies and access controls
Install surveillance and alarm systems.</t>
  </si>
  <si>
    <t>1 to 3</t>
  </si>
  <si>
    <t>T42</t>
  </si>
  <si>
    <t>Inadequate training on secure data handling</t>
  </si>
  <si>
    <t>T43</t>
  </si>
  <si>
    <t>Absence of privileged access management solutions, 
Inadequate reviews and audits of privileged actions</t>
  </si>
  <si>
    <t>T44</t>
  </si>
  <si>
    <t>Crisis Management Plan</t>
  </si>
  <si>
    <t>Insufficient anti-malware protection, 
Poor email and download security practices</t>
  </si>
  <si>
    <t>Deploy antivirus and anti-malware solutions.
Regularly scan systems for vulnerabilities and malware.</t>
  </si>
  <si>
    <t>T45</t>
  </si>
  <si>
    <t>Data loss</t>
  </si>
  <si>
    <t>Accuracy of risk analysis, Confidentiality of Sensitive Information</t>
  </si>
  <si>
    <t>Backup systems and regular testing of Security</t>
  </si>
  <si>
    <t>2-3</t>
  </si>
  <si>
    <t>Data is unavailable / lost</t>
  </si>
  <si>
    <t>T46</t>
  </si>
  <si>
    <t>Vulnerable software and systems due to inadequate patch management.
Insufficient intrusion detection and prevention systems.</t>
  </si>
  <si>
    <t>5 to 12</t>
  </si>
  <si>
    <t>3 to 8</t>
  </si>
  <si>
    <t>T47</t>
  </si>
  <si>
    <t>Dependency on third-party security measures which may be inadequate.
Lack of robust contractual agreements regarding data security.</t>
  </si>
  <si>
    <t>T48</t>
  </si>
  <si>
    <t>Campaign briefs</t>
  </si>
  <si>
    <t>"Unmonitored access points
Lack of environmental controls (e.g., fire, flood)
Poorly enforced visitor access policies"</t>
  </si>
  <si>
    <t>Install surveilance cameras &amp; access control systems.
Implement strict visitor access controls.</t>
  </si>
  <si>
    <t>T49</t>
  </si>
  <si>
    <t>Lack of effective backup and recovery solutions.</t>
  </si>
  <si>
    <t>3-2-1 backup systems.</t>
  </si>
  <si>
    <t>T50</t>
  </si>
  <si>
    <t>Appointment Scheduling System</t>
  </si>
  <si>
    <t>Incorrectly configured storage and network devices that could lead to data loss.
Lack of regular system audits and reviews.
Poor administration and operational practices.</t>
  </si>
  <si>
    <t>Implement regular system audits and configuration reviews.
Use automated configuration management tools.
Train staff on proper system administration and operational practices.</t>
  </si>
  <si>
    <t>T51</t>
  </si>
  <si>
    <t>Use of outdated or end-of-life hardware that is prone to failure.
Inadequate maintenance of physical and hardware systems.
Lack of redundancy and failover capabilities.</t>
  </si>
  <si>
    <t>1 to 5</t>
  </si>
  <si>
    <t>3-2-1 backup systems.
Reguar maintenance.
Redundant hardware.</t>
  </si>
  <si>
    <t>T52</t>
  </si>
  <si>
    <t>Data tamering</t>
  </si>
  <si>
    <t>Phishing attacks targeting employees to gain access credentials.
Insecure storage and management of access credentials.
Weak authentication systems that do not enforce strong passwords or multi-factor authentication.</t>
  </si>
  <si>
    <t>4 to 6</t>
  </si>
  <si>
    <t>- Conduct regular phishing awareness and training programs for employees.
- Implement strong, secure storage and management practices for access credentials.
- Use multi-factor authentication (MFA) to enhance security.</t>
  </si>
  <si>
    <t>3-5</t>
  </si>
  <si>
    <t>T53</t>
  </si>
  <si>
    <t>Lack of monitoring and auditing of privileged user activities.
Insufficient controls and policies governing privileged access.</t>
  </si>
  <si>
    <t>6 to 8</t>
  </si>
  <si>
    <t>4-5</t>
  </si>
  <si>
    <t>T54</t>
  </si>
  <si>
    <t>Systems compromised with ransomware leading to data being locked or deleted.
Infection by viruses that corrupt data files and systems.</t>
  </si>
  <si>
    <t>1-5</t>
  </si>
  <si>
    <t>T55</t>
  </si>
  <si>
    <t>Physical Damage to IT Infra</t>
  </si>
  <si>
    <t>Damage due to environmental factors such as fire, water, or other disasters.
Lack of protective measures to shield IT infrastructure from physical threats.</t>
  </si>
  <si>
    <t>Count</t>
  </si>
  <si>
    <t>Untreated Risk Rating</t>
  </si>
  <si>
    <t>Response</t>
  </si>
  <si>
    <t>Avoid/Monitor/
Accept/Control/Transfer</t>
  </si>
  <si>
    <t>Monitor and Control</t>
  </si>
  <si>
    <t>PrimeHealth considers any risk above "Minor" as unacceptable</t>
  </si>
  <si>
    <t xml:space="preserve">Control   </t>
  </si>
  <si>
    <t>Control</t>
  </si>
  <si>
    <t>Avoid</t>
  </si>
  <si>
    <t>Accept</t>
  </si>
  <si>
    <t>DoS/DDoS Attack</t>
  </si>
  <si>
    <t>Use DoS/DDoS prevention software/service like cloudflare.</t>
  </si>
  <si>
    <t>Value of Asset</t>
  </si>
  <si>
    <t xml:space="preserve">Controls from ISO/IEC 27002:2022 </t>
  </si>
  <si>
    <t>Cost of Control Implementation</t>
  </si>
  <si>
    <t>5.15, 5,16, 5.17, 5.18, 7.10, 8.3</t>
  </si>
  <si>
    <t>5.15, 5,16, 5.17, 5.18, 7.10, 8.15</t>
  </si>
  <si>
    <t>5.24, 5.25, 5.26, 6.3, 6.6, 7.10</t>
  </si>
  <si>
    <t>5.15, 5,16, 5.17, 5.18, 8.3</t>
  </si>
  <si>
    <t>5.15, 5,16, 5.17, 5.18, 8.7, 8.12</t>
  </si>
  <si>
    <t>5.19, 5.21, 5.22, 5.30, 6.3, 6.6, 7.10</t>
  </si>
  <si>
    <t>5.24, 5.25, 5.26, 5.30. 5.31 , 6.3</t>
  </si>
  <si>
    <t>5.31, 6.3, 7.2, 7.4, 7.10</t>
  </si>
  <si>
    <t>5.19, 5.21, 5.22, 5.31 , 6.6, 7.10, 8.3</t>
  </si>
  <si>
    <t>5.15, 5,16, 5.17, 5.18, 8.3, 8.32</t>
  </si>
  <si>
    <t>5.30, 8.13</t>
  </si>
  <si>
    <t>6.6, 8.3, 8.15, 8.32</t>
  </si>
  <si>
    <t>5.24, 5.25, 5.26, 6.3, 8.7,8.12</t>
  </si>
  <si>
    <t>5.30, 8.7,8.12</t>
  </si>
  <si>
    <t>5.30, 7.10, 8.3</t>
  </si>
  <si>
    <t>5.30, 8.3,8.7,8.12</t>
  </si>
  <si>
    <t>5.24, 5.25, 5.26</t>
  </si>
  <si>
    <t>5.15, 5,16, 5.17, 5.18, 5.31,8.3</t>
  </si>
  <si>
    <t>5.15, 5,16, 5.17, 5.18, 5.31 , 8.3, 8.15, 8.32</t>
  </si>
  <si>
    <t>5.30, 5.31, 7.10, 8.13</t>
  </si>
  <si>
    <t>5.15, 5,16, 5.17, 5.18, 5.31, 8.3, 8.15, 8.32</t>
  </si>
  <si>
    <t>5.15, 5,16, 5.17, 5.18, 8.3, 8.15, 8.32</t>
  </si>
  <si>
    <t>5.30, 7.10, 8.7,8.12</t>
  </si>
  <si>
    <t>6.3, 8.7,8.12</t>
  </si>
  <si>
    <t>5.30, 7.10, 8.13</t>
  </si>
  <si>
    <t>5.15, 5,16, 5.17, 5.18, 8.3, 8.7,8.12</t>
  </si>
  <si>
    <t xml:space="preserve">5.15, 5,16, 5.17, 5.18, 5.31, 8.3 </t>
  </si>
  <si>
    <t>5.15, 5.17, 5.18, 8.13, 8.5, 8.24</t>
  </si>
  <si>
    <t>5.15, 8.2, 8.3, 8.16</t>
  </si>
  <si>
    <t>8.7, 8.8</t>
  </si>
  <si>
    <t xml:space="preserve">8.20,8.21, 8.14 </t>
  </si>
  <si>
    <t>8.13, 8.15, 8.16</t>
  </si>
  <si>
    <t>5.35, 8.13, 8.15, 8.16</t>
  </si>
  <si>
    <t>5.15, 5.16, 5.17, 5.18, 8.5, 8.24</t>
  </si>
  <si>
    <t>8.3, 8.15, 8.16</t>
  </si>
  <si>
    <t>8.13, 8.14, 8.16, 5.23, 5.30, 5.29</t>
  </si>
  <si>
    <t>8.15, 8.16, 5.15, 8.2, 8.3</t>
  </si>
  <si>
    <t>5.30, 8.14</t>
  </si>
  <si>
    <t>8.13, 8.7, 8.24</t>
  </si>
  <si>
    <t>7.4, 7.13</t>
  </si>
  <si>
    <t>8.20, 8.16, 8.14</t>
  </si>
  <si>
    <t>5.15, 5.17, 8.3, 8.5, 8.13, 8.24</t>
  </si>
  <si>
    <t>8.13, 8.12, 8.15, 8.16</t>
  </si>
  <si>
    <t>5.30, 5.29, 8.13</t>
  </si>
  <si>
    <t>8.13, 5.37, 5.30, 5.29</t>
  </si>
  <si>
    <t>8.13, 8.12, 8.16, 8.15, 5.18</t>
  </si>
  <si>
    <t>8.8, 8.13, 8.24</t>
  </si>
  <si>
    <t>8.24, 5.1, 5.4, 8.16, 8.15</t>
  </si>
  <si>
    <t>8.5, 8.24, 5.15, 6.3</t>
  </si>
  <si>
    <t>5.15, 8.16, 8.10</t>
  </si>
  <si>
    <t>8.13, 5.30, 8.24</t>
  </si>
  <si>
    <t>8.14. 8.24, 6.3</t>
  </si>
  <si>
    <t>5.15, 8.24, 8.15, 8.16, 6.3, 5.12, 8.12</t>
  </si>
  <si>
    <t>8.7, 8.16, 8.10</t>
  </si>
  <si>
    <t>5.15, 8.16, 8.15, 8.24</t>
  </si>
  <si>
    <t>8.24, 8.20, 8.16</t>
  </si>
  <si>
    <t>8.11, 5.2, 8.16</t>
  </si>
  <si>
    <t>8.14, 5.30, 8.8</t>
  </si>
  <si>
    <t>5.30, 8.13, 8.14, 8.20, 8.16, 8.9</t>
  </si>
  <si>
    <t>5.15, 5.16</t>
  </si>
  <si>
    <t>5.23, 5.25</t>
  </si>
  <si>
    <t>5.16, 5.17</t>
  </si>
  <si>
    <t>5.15, 5.16, 8.7</t>
  </si>
  <si>
    <t>5.18, 5.19, 5.20</t>
  </si>
  <si>
    <t>5.26, 8.12, 8.16</t>
  </si>
  <si>
    <t>5.16, 5.17, 8.8</t>
  </si>
  <si>
    <t>5.17, 5.25, 8.7</t>
  </si>
  <si>
    <t>5.18, 8.7</t>
  </si>
  <si>
    <t>5.18, 5.19, 8.7</t>
  </si>
  <si>
    <t>5.16, 5.26, 5.15</t>
  </si>
  <si>
    <t>5.20, 8.7</t>
  </si>
  <si>
    <t>5.17, 5.15, 8.12</t>
  </si>
  <si>
    <t>5.17, 5.18, 8.7</t>
  </si>
  <si>
    <t>5.16, 5.20</t>
  </si>
  <si>
    <t>5.17, 5.19, 8.8</t>
  </si>
  <si>
    <t>5.15, 5.17</t>
  </si>
  <si>
    <t>5.18, 8.7, 8.8</t>
  </si>
  <si>
    <t>5.16, 8.8, 5.18</t>
  </si>
  <si>
    <t>5.17, 8.8, 5.16</t>
  </si>
  <si>
    <t>5.15, 5.19, 8.7</t>
  </si>
  <si>
    <t>5.19, 5.25</t>
  </si>
  <si>
    <t>5.15, 5.17, 8.7</t>
  </si>
  <si>
    <t>5.18, 8.7, 5.19</t>
  </si>
  <si>
    <t xml:space="preserve">$1,000,000
</t>
  </si>
  <si>
    <t>5.24, 5.26, 8.5, 8.12, 8.13, 8.16, 8.24, 8.26, 8.27</t>
  </si>
  <si>
    <t>5.24, 5.26, 8.5, 8.7, 8.16, 8.20, 8.24, 8.26, 8.27</t>
  </si>
  <si>
    <t>5.24, 5.26, 6.3, 8.5, 8.12, 8.16</t>
  </si>
  <si>
    <t>5.24, 5.26, 8.5, 8.16</t>
  </si>
  <si>
    <t>7.2, 7.4</t>
  </si>
  <si>
    <t>5.15, 5.18, 6.1, 6.3, 6.4, 8.2</t>
  </si>
  <si>
    <t>5.14, 6.3</t>
  </si>
  <si>
    <t>5.15, 5.18, 6.1, 6.3, 6.4</t>
  </si>
  <si>
    <t>8.5, 8.24</t>
  </si>
  <si>
    <t>5.15, 5.18, 5.24, 5.26, 8.2, 8.3, 8.12, 8.16</t>
  </si>
  <si>
    <t>5.15, 5.18</t>
  </si>
  <si>
    <t>5.24, 5.26, 8.16, 8.20, 8.21</t>
  </si>
  <si>
    <t>5.24, 5.26, 8.7, 8.13, 8.14, 8.16, 8.26, 8.27</t>
  </si>
  <si>
    <t>5.19, 5.21, 5.22</t>
  </si>
  <si>
    <t>8.13, 8.14, 8.15, 8.16</t>
  </si>
  <si>
    <t>8.8, 8.16</t>
  </si>
  <si>
    <t>5.14, 8.5, 8.11, 8.12, 8.24</t>
  </si>
  <si>
    <t>8.15, 8.16</t>
  </si>
  <si>
    <t>5.15, 5.24, 5.26, 8.5, 8.12, 8.13, 8.14, 8.16, 8.24, 8.26, 8.27</t>
  </si>
  <si>
    <t>5.36, 6.3, 6.4</t>
  </si>
  <si>
    <t>8.13, 8.14</t>
  </si>
  <si>
    <t>7.5, 8.13, 8.14</t>
  </si>
  <si>
    <t>5.15, 5.18, 8.15, 8.16</t>
  </si>
  <si>
    <t>5.3; 5.15; 5.18; 8.2; 8.3</t>
  </si>
  <si>
    <t>8.2; 8.12; 5.10; 5.14</t>
  </si>
  <si>
    <t>8.24; 8.25; 8.28; 5.13; 8.4</t>
  </si>
  <si>
    <t>5.17; 8.5; 8.18; 5.16; 5.12</t>
  </si>
  <si>
    <t>6.3; 6.8; 5.8; 5.27; 5.26</t>
  </si>
  <si>
    <t>8.14; 7.11; 7.5; 5.30; 5.29</t>
  </si>
  <si>
    <t>8.13; 5.29; 5.30; 8.14; 8.13</t>
  </si>
  <si>
    <t>8.7; 8.14; 8.16; 5.30</t>
  </si>
  <si>
    <t>~AU$1000-5000/ECC-capable system.</t>
  </si>
  <si>
    <t>8.21; 8.22; 8.20; 8.25</t>
  </si>
  <si>
    <t>8.21; 8.20; 8.27; 8.24</t>
  </si>
  <si>
    <t>8.14; 5.29; 5.30; 8.25</t>
  </si>
  <si>
    <t>8.22; 8.25; 8.7; 8.21</t>
  </si>
  <si>
    <t>8.7; 8.15; 8.16; 8.18</t>
  </si>
  <si>
    <t>7.1; 7.2; 7.4; 7.6</t>
  </si>
  <si>
    <t>7.5; 7.13; 5.30; 7.14</t>
  </si>
  <si>
    <t>8.14; 7.11; 5.29; 5.30</t>
  </si>
  <si>
    <t>8.15; 8.16; 8.25; 5.26</t>
  </si>
  <si>
    <t>7.13; 7.14; 8.16; 5.27</t>
  </si>
  <si>
    <t>8.24; 8.12; 8.28</t>
  </si>
  <si>
    <t>5.24; 8.15; 8.16</t>
  </si>
  <si>
    <t>6.1; 5.2; 6.2</t>
  </si>
  <si>
    <t>~$200/check</t>
  </si>
  <si>
    <t>6.5; 5.11; 6.6</t>
  </si>
  <si>
    <t xml:space="preserve">5.21;  5.7 </t>
  </si>
  <si>
    <t xml:space="preserve">8.23; 8.15 </t>
  </si>
  <si>
    <t xml:space="preserve">8.11; 8.30 </t>
  </si>
  <si>
    <t xml:space="preserve">5.15;  8.12 </t>
  </si>
  <si>
    <t xml:space="preserve">8.11; 5.30 </t>
  </si>
  <si>
    <t>8.9 ; 5.17</t>
  </si>
  <si>
    <t xml:space="preserve">5.21; 5.3 </t>
  </si>
  <si>
    <t xml:space="preserve">8.24; 8.23 </t>
  </si>
  <si>
    <t xml:space="preserve">8.13;  5.30 </t>
  </si>
  <si>
    <t>5.18; 5.21</t>
  </si>
  <si>
    <t xml:space="preserve">8.7;  8.25 </t>
  </si>
  <si>
    <t xml:space="preserve">8.13 ;  5.30 </t>
  </si>
  <si>
    <t xml:space="preserve">8.7 ;  8.9 </t>
  </si>
  <si>
    <t xml:space="preserve">5.15 ;  8.3 </t>
  </si>
  <si>
    <t xml:space="preserve">8.7 ;  8.24 </t>
  </si>
  <si>
    <t>5.3;  5.7</t>
  </si>
  <si>
    <t xml:space="preserve">8.7;  5.17 </t>
  </si>
  <si>
    <t xml:space="preserve">5.3; 5.18 </t>
  </si>
  <si>
    <t xml:space="preserve">8.7; 8.24 </t>
  </si>
  <si>
    <t xml:space="preserve">8.11,  5.30 </t>
  </si>
  <si>
    <t>5.15, 8.3</t>
  </si>
  <si>
    <t xml:space="preserve">5.18 ; 5.3 </t>
  </si>
  <si>
    <t>8.13 ; 5.30</t>
  </si>
  <si>
    <t xml:space="preserve">5.15 ; 8.12 </t>
  </si>
  <si>
    <t xml:space="preserve">8.7 ; 8.25 </t>
  </si>
  <si>
    <t xml:space="preserve">8.11 ;5.30 </t>
  </si>
  <si>
    <t xml:space="preserve">5.3 ; 5.21 </t>
  </si>
  <si>
    <t>8.7 ; 8.12</t>
  </si>
  <si>
    <t>5.15 ; 5.3</t>
  </si>
  <si>
    <t>8.7; 8.24</t>
  </si>
  <si>
    <t xml:space="preserve">8.11 ; 5.30 </t>
  </si>
  <si>
    <t xml:space="preserve">5.7 ; 5.21 </t>
  </si>
  <si>
    <t xml:space="preserve">8.13 ; 5.30 </t>
  </si>
  <si>
    <t xml:space="preserve">8.7 ;8.24 </t>
  </si>
  <si>
    <t xml:space="preserve">8.7 ; 8.12 </t>
  </si>
  <si>
    <t xml:space="preserve">8.7 ; 8.24 </t>
  </si>
  <si>
    <t xml:space="preserve">$150,000	</t>
  </si>
  <si>
    <t xml:space="preserve">Data Breach	</t>
  </si>
  <si>
    <t xml:space="preserve">5.15, 8.5, 8.24	</t>
  </si>
  <si>
    <t xml:space="preserve">Phishing	</t>
  </si>
  <si>
    <t xml:space="preserve">5.24, 6.3, 8.7	</t>
  </si>
  <si>
    <t xml:space="preserve">Unauthorized Access	</t>
  </si>
  <si>
    <t xml:space="preserve">5.15, 5.16, 8.12	</t>
  </si>
  <si>
    <t xml:space="preserve">System Downtime	</t>
  </si>
  <si>
    <t xml:space="preserve">8.14, 8.16, 5.30	</t>
  </si>
  <si>
    <t xml:space="preserve">Cyberattack	</t>
  </si>
  <si>
    <t xml:space="preserve">8.7, 8.12, 8.14	</t>
  </si>
  <si>
    <t xml:space="preserve">Data Tampering	</t>
  </si>
  <si>
    <t xml:space="preserve">5.16, 8.7	</t>
  </si>
  <si>
    <t xml:space="preserve">Non-compliance	</t>
  </si>
  <si>
    <t xml:space="preserve">5.30, 5.16, 8.12	</t>
  </si>
  <si>
    <t xml:space="preserve">Data Leakage	</t>
  </si>
  <si>
    <t xml:space="preserve">8.5, 8.24, 5.17	</t>
  </si>
  <si>
    <t xml:space="preserve">5.15, 5.17	</t>
  </si>
  <si>
    <t xml:space="preserve">$120,000	</t>
  </si>
  <si>
    <t xml:space="preserve">8.13, 5.30, 5.29	</t>
  </si>
  <si>
    <t xml:space="preserve">8.24, 5.18, 8.12	</t>
  </si>
  <si>
    <t>Unauthorized Modification</t>
  </si>
  <si>
    <t xml:space="preserve">Insider Threat	</t>
  </si>
  <si>
    <t xml:space="preserve">5.15, 8.16	</t>
  </si>
  <si>
    <t xml:space="preserve">System Failure	</t>
  </si>
  <si>
    <t xml:space="preserve">8.13, 8.14	</t>
  </si>
  <si>
    <t xml:space="preserve">5.18, 8.7	</t>
  </si>
  <si>
    <t xml:space="preserve">Unauthorized Deletion	</t>
  </si>
  <si>
    <t xml:space="preserve">5.18, 8.7, 5.19	</t>
  </si>
  <si>
    <t xml:space="preserve">Insider Manipulation	</t>
  </si>
  <si>
    <t xml:space="preserve">5.15, 5.16	</t>
  </si>
  <si>
    <t xml:space="preserve">$100,000	</t>
  </si>
  <si>
    <t xml:space="preserve">Ransomware	</t>
  </si>
  <si>
    <t xml:space="preserve">8.7, 8.12, 5.30	</t>
  </si>
  <si>
    <t xml:space="preserve">Data Corruption	</t>
  </si>
  <si>
    <t xml:space="preserve">5.30, 8.13, 8.16	</t>
  </si>
  <si>
    <t xml:space="preserve">Espionage	</t>
  </si>
  <si>
    <t xml:space="preserve">5.15, 8.3, 8.12	</t>
  </si>
  <si>
    <t xml:space="preserve">$80,000	</t>
  </si>
  <si>
    <t xml:space="preserve">5.30, 8.12, 8.16	</t>
  </si>
  <si>
    <t xml:space="preserve">$70,000	</t>
  </si>
  <si>
    <t xml:space="preserve">5.15, 5.16, 8.24	</t>
  </si>
  <si>
    <t xml:space="preserve">Information Manipulation	</t>
  </si>
  <si>
    <t xml:space="preserve">5.24, 5.25, 5.26	</t>
  </si>
  <si>
    <t>5.15, 5.17, 8.3</t>
  </si>
  <si>
    <t xml:space="preserve">Data Loss	 </t>
  </si>
  <si>
    <t xml:space="preserve">5.16, 5.18	</t>
  </si>
  <si>
    <t xml:space="preserve">$160,000	</t>
  </si>
  <si>
    <t xml:space="preserve">5.17, 8.7	</t>
  </si>
  <si>
    <t xml:space="preserve">5.30, 8.13	</t>
  </si>
  <si>
    <t xml:space="preserve">8.5, 8.24, 5.15	</t>
  </si>
  <si>
    <t xml:space="preserve">5.15, 5.24	</t>
  </si>
  <si>
    <t xml:space="preserve">8.5, 8.12, 8.24	</t>
  </si>
  <si>
    <t xml:space="preserve">5.15, 8.7	</t>
  </si>
  <si>
    <t xml:space="preserve">$60,000	</t>
  </si>
  <si>
    <t xml:space="preserve">5.15, 5.17, 8.3	</t>
  </si>
  <si>
    <t xml:space="preserve">5.15, 5.16, 8.7	</t>
  </si>
  <si>
    <t>Rating</t>
  </si>
  <si>
    <t>C5</t>
  </si>
  <si>
    <t>C4</t>
  </si>
  <si>
    <t>C3</t>
  </si>
  <si>
    <t>C2</t>
  </si>
  <si>
    <t>C1</t>
  </si>
  <si>
    <t>Impact Areas</t>
  </si>
  <si>
    <t>Negligible</t>
  </si>
  <si>
    <t>Customer Service</t>
  </si>
  <si>
    <t>Complete shutdown of essential services (e.g., ER, ICU) resulting in immediate danger to patient life.</t>
  </si>
  <si>
    <t>Disruption of critical services affecting patient health significantly, requiring diversion to other facilities.</t>
  </si>
  <si>
    <t>Delays in non-essential services (e.g., elective surgeries), manageable within 24 hours.</t>
  </si>
  <si>
    <t>Minor delays in non-critical services, minimal impact on patient health.</t>
  </si>
  <si>
    <t>All services running smoothly with no interruptions.</t>
  </si>
  <si>
    <t>Major breach with potential for severe legal repercussions and risk to patient privacy.</t>
  </si>
  <si>
    <t>Significant unauthorized access to patient data, legal and reputation risk manageable with effort.</t>
  </si>
  <si>
    <t>Accidental exposure of non-sensitive patient data, contained internally.</t>
  </si>
  <si>
    <t>Small-scale data mismanagement, quickly contained.</t>
  </si>
  <si>
    <t>No data loss or unauthorized access incidents.</t>
  </si>
  <si>
    <t>Employee Data Breach</t>
  </si>
  <si>
    <t>Extensive unauthorized access to sensitive employee data, legal and financial consequences, potential layoffs.</t>
  </si>
  <si>
    <t>Breach of employee data with moderate impact on privacy and operations, potential for internal dissatisfaction.</t>
  </si>
  <si>
    <t>Limited unauthorized access to non-sensitive employee data, minimal impact.</t>
  </si>
  <si>
    <t>Isolated incident affecting a small number of employees, quickly resolved.</t>
  </si>
  <si>
    <t>No breach or security incidents involving employee data.</t>
  </si>
  <si>
    <t>Financial Loss</t>
  </si>
  <si>
    <t>Losses threatening the survival of the facility, exceeding 50% of annual revenue.</t>
  </si>
  <si>
    <t>Significant financial distress, necessitating major operational adjustments, impacting up to 30% of revenue.</t>
  </si>
  <si>
    <t>Manageable financial losses (10-20% of revenue), with some budget adjustments required.</t>
  </si>
  <si>
    <t>Minor losses, less than 5% of revenue, minor impact on operations.</t>
  </si>
  <si>
    <t>No significant financial loss.</t>
  </si>
  <si>
    <t>Non-compliance</t>
  </si>
  <si>
    <t>Loss of license, shutdown of operations due to severe non-compliance with health regulations.</t>
  </si>
  <si>
    <t>Major violations requiring significant remedial actions to prevent further penalties.</t>
  </si>
  <si>
    <t>Minor violations, resolvable with moderate efforts without long-term impact.</t>
  </si>
  <si>
    <t>Small fines or warnings, minimal adjustments needed for compliance.</t>
  </si>
  <si>
    <t>Full compliance with all health regulations.</t>
  </si>
  <si>
    <t>Reputation</t>
  </si>
  <si>
    <t>Long-term damage to trust from patients and stakeholders, significant media coverage, crisis management needed.</t>
  </si>
  <si>
    <t>Significant reputational harm but recoverable with concerted PR and operational remediation.</t>
  </si>
  <si>
    <t>Moderate reputational damage, managed with standard PR efforts.</t>
  </si>
  <si>
    <t>Minor complaints from patients or stakeholders, quickly addressed and resolved.</t>
  </si>
  <si>
    <t>High level of trust and satisfaction among patients and stakeholders.</t>
  </si>
  <si>
    <t>Resource Constraints</t>
  </si>
  <si>
    <t>Inability to operate key departments (e.g., Radiology, Laboratory services), risking patient outcomes.</t>
  </si>
  <si>
    <t>Significant shortages causing delays in services but manageable without affecting critical outcomes.</t>
  </si>
  <si>
    <t>Short-term resource shortages, causing minor delays in non-critical services.</t>
  </si>
  <si>
    <t>Minor resource fluctuations, not affecting patient care.</t>
  </si>
  <si>
    <t>Sufficient resources to maintain all operations effectively.</t>
  </si>
  <si>
    <t>Service Disruptions</t>
  </si>
  <si>
    <t>Complete halt of all critical patient services for more than 48 hours.</t>
  </si>
  <si>
    <t>Major service disruptions in critical areas lasting 12-24 hours, requiring immediate attention.</t>
  </si>
  <si>
    <t>Short disruptions in non-critical services, resolvable within hours.</t>
  </si>
  <si>
    <t>Very brief interruptions in non-essential services, quickly resolved.</t>
  </si>
  <si>
    <t>No disruptions in service.</t>
  </si>
  <si>
    <t>Technology Infrastructure</t>
  </si>
  <si>
    <t>Total failure of critical systems (e.g., electronic health records), disrupting operations for more than 24 hours.</t>
  </si>
  <si>
    <t>Major system failures affecting essential services for up to 24 hours.</t>
  </si>
  <si>
    <t>Partial system outages affecting some operations, resolvable within 12 hours.</t>
  </si>
  <si>
    <t>Minor system glitches, resolved quickly with no impact on core operations.</t>
  </si>
  <si>
    <t>All systems operational without any issues.</t>
  </si>
  <si>
    <t>Risk Rating</t>
  </si>
  <si>
    <t>Action</t>
  </si>
  <si>
    <t>Review Frequency</t>
  </si>
  <si>
    <t>Is BCP Required?</t>
  </si>
  <si>
    <t>Unacceptable risks that threaten the survival of the business or patient safety. Immediate action required to mitigate or avoid.</t>
  </si>
  <si>
    <r>
      <t>Avoid/Cease</t>
    </r>
    <r>
      <rPr>
        <sz val="11"/>
        <color theme="1"/>
        <rFont val="Calibri"/>
        <family val="2"/>
        <scheme val="minor"/>
      </rPr>
      <t>: Immediate halt to operations or implementation of emergency actions to reduce risk.</t>
    </r>
  </si>
  <si>
    <t>Daily</t>
  </si>
  <si>
    <t>High-level risks that could cause severe disruption to operations, safety, or compliance. Must be mitigated swiftly.</t>
  </si>
  <si>
    <r>
      <t>Control</t>
    </r>
    <r>
      <rPr>
        <sz val="11"/>
        <color theme="1"/>
        <rFont val="Calibri"/>
        <family val="2"/>
        <scheme val="minor"/>
      </rPr>
      <t>: Strong control measures should be implemented to bring the risk to acceptable levels.</t>
    </r>
  </si>
  <si>
    <t>Weekly</t>
  </si>
  <si>
    <t>Medium-level risks that can cause significant, but manageable disruptions or financial impact. Requires attention.</t>
  </si>
  <si>
    <r>
      <t>Monitor &amp; Control</t>
    </r>
    <r>
      <rPr>
        <sz val="11"/>
        <color theme="1"/>
        <rFont val="Calibri"/>
        <family val="2"/>
        <scheme val="minor"/>
      </rPr>
      <t>: Implement controls and monitor the risk regularly to prevent escalation.</t>
    </r>
  </si>
  <si>
    <t>Monthly</t>
  </si>
  <si>
    <t>Low-level risks that are unlikely to cause major disruptions but may require action to keep under control.</t>
  </si>
  <si>
    <r>
      <t>Monitor</t>
    </r>
    <r>
      <rPr>
        <sz val="11"/>
        <color theme="1"/>
        <rFont val="Calibri"/>
        <family val="2"/>
        <scheme val="minor"/>
      </rPr>
      <t>: Review and monitor these risks periodically to ensure they don’t escalate.</t>
    </r>
  </si>
  <si>
    <t>Quarterly</t>
  </si>
  <si>
    <t>Risks that pose very little impact on operations or patient services. These risks can be accepted with no action needed.</t>
  </si>
  <si>
    <r>
      <t>Accept</t>
    </r>
    <r>
      <rPr>
        <sz val="11"/>
        <color theme="1"/>
        <rFont val="Calibri"/>
        <family val="2"/>
        <scheme val="minor"/>
      </rPr>
      <t>: Accept the risk without immediate action. Only periodic reviews required.</t>
    </r>
  </si>
  <si>
    <t>Annually</t>
  </si>
  <si>
    <t>Impact</t>
  </si>
  <si>
    <t>Exposure factor</t>
  </si>
  <si>
    <t>Financial Impact</t>
  </si>
  <si>
    <t>90% of Asset Value</t>
  </si>
  <si>
    <t>70% of Asset Value</t>
  </si>
  <si>
    <t>50% of Asset Value</t>
  </si>
  <si>
    <t>30% of Asset Value</t>
  </si>
  <si>
    <t>5% of Asset Value</t>
  </si>
  <si>
    <t>ARO</t>
  </si>
  <si>
    <t>Days Between Occurrences Annually</t>
  </si>
  <si>
    <t>Every 456 days</t>
  </si>
  <si>
    <t>Every 608 days</t>
  </si>
  <si>
    <t>Every 912 days</t>
  </si>
  <si>
    <t>Every 1,825 days</t>
  </si>
  <si>
    <t>Every 7,300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</si>
</sst>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quot;$&quot;#,##0"/>
    <numFmt numFmtId="166" formatCode="[$$-C09]#,##0.00;[Red]\-[$$-C09]#,##0.00"/>
    <numFmt numFmtId="167" formatCode="[$$-C09]#,##0"/>
    <numFmt numFmtId="168" formatCode="[$$-C09]#,##0;[Red][$$-C09]#,##0"/>
    <numFmt numFmtId="169" formatCode="[$$-C09]#,##0.00"/>
  </numFmts>
  <fonts count="35"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1"/>
      <color theme="1"/>
      <name val="Calibri"/>
      <family val="2"/>
      <scheme val="minor"/>
    </font>
    <font>
      <sz val="11"/>
      <color rgb="FF000000"/>
      <name val="Times New Roman"/>
      <family val="1"/>
    </font>
    <font>
      <sz val="11"/>
      <color rgb="FF000000"/>
      <name val="Calibri"/>
      <family val="2"/>
    </font>
    <font>
      <sz val="11"/>
      <color rgb="FF000000"/>
      <name val="Calibri"/>
      <family val="2"/>
      <scheme val="minor"/>
    </font>
    <font>
      <sz val="8"/>
      <name val="Calibri"/>
      <family val="2"/>
      <scheme val="minor"/>
    </font>
    <font>
      <sz val="10"/>
      <color rgb="FF000000"/>
      <name val="Calibri"/>
      <family val="2"/>
      <scheme val="minor"/>
    </font>
    <font>
      <sz val="11"/>
      <color rgb="FF242424"/>
      <name val="Calibri"/>
      <family val="2"/>
      <scheme val="minor"/>
    </font>
    <font>
      <sz val="10"/>
      <color rgb="FF242424"/>
      <name val="Calibri"/>
      <family val="2"/>
      <scheme val="minor"/>
    </font>
    <font>
      <i/>
      <sz val="11"/>
      <color theme="1"/>
      <name val="Calibri"/>
      <family val="2"/>
      <scheme val="minor"/>
    </font>
    <font>
      <b/>
      <sz val="11"/>
      <color rgb="FF000000"/>
      <name val="Calibri"/>
      <family val="2"/>
      <scheme val="minor"/>
    </font>
    <font>
      <sz val="11"/>
      <color theme="1"/>
      <name val="Aptos"/>
      <family val="2"/>
    </font>
    <font>
      <b/>
      <sz val="11"/>
      <color theme="1"/>
      <name val="Aptos"/>
      <family val="2"/>
    </font>
    <font>
      <b/>
      <sz val="11"/>
      <color theme="1"/>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sz val="11"/>
      <color rgb="FF000000"/>
      <name val="Aptos"/>
      <family val="2"/>
    </font>
    <font>
      <u/>
      <sz val="12"/>
      <color rgb="FF000000"/>
      <name val="Aptos"/>
      <family val="2"/>
    </font>
    <font>
      <sz val="12"/>
      <color rgb="FF000000"/>
      <name val="Aptos"/>
      <family val="2"/>
    </font>
    <font>
      <i/>
      <sz val="11"/>
      <color rgb="FF000000"/>
      <name val="Aptos"/>
      <family val="2"/>
    </font>
    <font>
      <sz val="11"/>
      <color rgb="FF000000"/>
      <name val="Aptos Display"/>
      <family val="2"/>
    </font>
    <font>
      <b/>
      <sz val="14"/>
      <color theme="1"/>
      <name val="Aptos"/>
      <family val="2"/>
    </font>
    <font>
      <sz val="11"/>
      <color rgb="FF242424"/>
      <name val="Aptos Narrow"/>
      <family val="2"/>
    </font>
    <font>
      <sz val="12"/>
      <color theme="1"/>
      <name val="Calibri"/>
      <family val="2"/>
      <scheme val="minor"/>
    </font>
    <font>
      <b/>
      <sz val="12"/>
      <color rgb="FF000000"/>
      <name val="Calibri"/>
      <family val="2"/>
      <scheme val="minor"/>
    </font>
    <font>
      <sz val="12"/>
      <color rgb="FF000000"/>
      <name val="Calibri"/>
      <family val="2"/>
    </font>
    <font>
      <b/>
      <sz val="12"/>
      <color rgb="FF000000"/>
      <name val="Calibri"/>
      <family val="2"/>
    </font>
    <font>
      <sz val="12"/>
      <color theme="1"/>
      <name val="Calibri"/>
      <family val="2"/>
      <scheme val="minor"/>
    </font>
    <font>
      <b/>
      <sz val="14"/>
      <color theme="1"/>
      <name val="Calibri"/>
      <family val="2"/>
      <scheme val="minor"/>
    </font>
    <font>
      <sz val="14"/>
      <color theme="1"/>
      <name val="Calibri"/>
      <family val="2"/>
      <scheme val="minor"/>
    </font>
  </fonts>
  <fills count="21">
    <fill>
      <patternFill patternType="none"/>
    </fill>
    <fill>
      <patternFill patternType="gray125"/>
    </fill>
    <fill>
      <patternFill patternType="solid">
        <fgColor rgb="FFFFFF99"/>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5"/>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7ADE0"/>
        <bgColor indexed="64"/>
      </patternFill>
    </fill>
    <fill>
      <patternFill patternType="solid">
        <fgColor theme="7" tint="0.59999389629810485"/>
        <bgColor indexed="64"/>
      </patternFill>
    </fill>
    <fill>
      <patternFill patternType="solid">
        <fgColor rgb="FFD0CECE"/>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right/>
      <top style="thin">
        <color auto="1"/>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auto="1"/>
      </left>
      <right/>
      <top style="thin">
        <color auto="1"/>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style="thin">
        <color auto="1"/>
      </left>
      <right/>
      <top/>
      <bottom style="thin">
        <color auto="1"/>
      </bottom>
      <diagonal/>
    </border>
    <border>
      <left/>
      <right style="thin">
        <color auto="1"/>
      </right>
      <top style="thin">
        <color rgb="FF000000"/>
      </top>
      <bottom/>
      <diagonal/>
    </border>
    <border>
      <left/>
      <right style="thin">
        <color auto="1"/>
      </right>
      <top/>
      <bottom/>
      <diagonal/>
    </border>
    <border>
      <left/>
      <right/>
      <top style="thin">
        <color auto="1"/>
      </top>
      <bottom style="thin">
        <color auto="1"/>
      </bottom>
      <diagonal/>
    </border>
    <border>
      <left style="thin">
        <color auto="1"/>
      </left>
      <right/>
      <top/>
      <bottom/>
      <diagonal/>
    </border>
  </borders>
  <cellStyleXfs count="2">
    <xf numFmtId="0" fontId="0" fillId="0" borderId="0"/>
    <xf numFmtId="0" fontId="4" fillId="0" borderId="0"/>
  </cellStyleXfs>
  <cellXfs count="780">
    <xf numFmtId="0" fontId="0" fillId="0" borderId="0" xfId="0"/>
    <xf numFmtId="0" fontId="0" fillId="0" borderId="0" xfId="0" applyAlignment="1">
      <alignment wrapText="1"/>
    </xf>
    <xf numFmtId="0" fontId="0" fillId="0" borderId="5" xfId="0" applyBorder="1" applyAlignment="1">
      <alignment wrapText="1"/>
    </xf>
    <xf numFmtId="0" fontId="0" fillId="0" borderId="5" xfId="0" applyBorder="1"/>
    <xf numFmtId="0" fontId="0" fillId="0" borderId="5" xfId="0" applyBorder="1" applyAlignment="1">
      <alignment horizontal="left" vertical="top" wrapText="1"/>
    </xf>
    <xf numFmtId="0" fontId="5" fillId="6" borderId="7" xfId="0" applyFont="1" applyFill="1" applyBorder="1" applyAlignment="1">
      <alignment horizontal="center" vertical="center" wrapText="1"/>
    </xf>
    <xf numFmtId="0" fontId="6" fillId="0" borderId="1" xfId="0" applyFont="1" applyBorder="1"/>
    <xf numFmtId="0" fontId="6" fillId="0" borderId="3" xfId="0" applyFont="1" applyBorder="1"/>
    <xf numFmtId="0" fontId="5" fillId="6" borderId="5" xfId="0" applyFont="1" applyFill="1" applyBorder="1" applyAlignment="1">
      <alignment horizontal="center" vertical="center" wrapText="1"/>
    </xf>
    <xf numFmtId="0" fontId="5" fillId="6" borderId="20" xfId="0" applyFont="1" applyFill="1" applyBorder="1" applyAlignment="1">
      <alignment horizontal="center" vertical="center" wrapText="1"/>
    </xf>
    <xf numFmtId="0" fontId="0" fillId="6" borderId="0" xfId="0" applyFill="1" applyAlignment="1">
      <alignment vertical="center" wrapText="1"/>
    </xf>
    <xf numFmtId="0" fontId="0" fillId="0" borderId="5" xfId="0" applyBorder="1" applyAlignment="1">
      <alignment horizontal="center"/>
    </xf>
    <xf numFmtId="0" fontId="6" fillId="0" borderId="0" xfId="0" applyFont="1"/>
    <xf numFmtId="0" fontId="0" fillId="0" borderId="5" xfId="0" quotePrefix="1" applyBorder="1" applyAlignment="1">
      <alignment horizontal="left" vertical="top" wrapText="1"/>
    </xf>
    <xf numFmtId="0" fontId="8" fillId="7" borderId="5" xfId="0" applyFont="1" applyFill="1" applyBorder="1" applyAlignment="1">
      <alignment horizontal="left" vertical="top"/>
    </xf>
    <xf numFmtId="0" fontId="8" fillId="0" borderId="5" xfId="0" applyFont="1" applyBorder="1" applyAlignment="1">
      <alignment horizontal="left" vertical="top" wrapText="1"/>
    </xf>
    <xf numFmtId="0" fontId="0" fillId="0" borderId="0" xfId="0" applyAlignment="1">
      <alignment vertical="top"/>
    </xf>
    <xf numFmtId="0" fontId="0" fillId="7" borderId="0" xfId="0" applyFill="1"/>
    <xf numFmtId="0" fontId="14" fillId="6" borderId="5" xfId="0" applyFont="1" applyFill="1" applyBorder="1" applyAlignment="1">
      <alignment horizontal="center" vertical="center" wrapText="1"/>
    </xf>
    <xf numFmtId="0" fontId="5" fillId="6" borderId="0" xfId="0" applyFont="1" applyFill="1" applyAlignment="1">
      <alignment horizontal="center" vertical="center" wrapText="1"/>
    </xf>
    <xf numFmtId="0" fontId="6" fillId="0" borderId="31" xfId="0" applyFont="1" applyBorder="1"/>
    <xf numFmtId="0" fontId="8" fillId="0" borderId="0" xfId="0" applyFont="1" applyAlignment="1">
      <alignment horizontal="left"/>
    </xf>
    <xf numFmtId="0" fontId="8" fillId="0" borderId="0" xfId="0" applyFont="1" applyAlignment="1">
      <alignment wrapText="1"/>
    </xf>
    <xf numFmtId="0" fontId="8" fillId="0" borderId="0" xfId="0" applyFont="1" applyAlignment="1">
      <alignment horizontal="left" vertical="center" wrapText="1"/>
    </xf>
    <xf numFmtId="0" fontId="5" fillId="6" borderId="23" xfId="0" applyFont="1" applyFill="1" applyBorder="1" applyAlignment="1">
      <alignment horizontal="center" vertical="center" wrapText="1"/>
    </xf>
    <xf numFmtId="0" fontId="8" fillId="0" borderId="5" xfId="0" applyFont="1" applyBorder="1" applyAlignment="1">
      <alignment horizontal="left" vertical="top"/>
    </xf>
    <xf numFmtId="0" fontId="15" fillId="0" borderId="1" xfId="0" applyFont="1" applyBorder="1" applyAlignment="1">
      <alignment horizontal="left" vertical="top" wrapText="1"/>
    </xf>
    <xf numFmtId="0" fontId="0" fillId="0" borderId="1" xfId="0" applyBorder="1" applyAlignment="1">
      <alignment horizontal="left" vertical="top"/>
    </xf>
    <xf numFmtId="0" fontId="13" fillId="0" borderId="20" xfId="0" quotePrefix="1" applyFont="1" applyBorder="1" applyAlignment="1">
      <alignment horizontal="left" vertical="top" wrapText="1"/>
    </xf>
    <xf numFmtId="0" fontId="13" fillId="0" borderId="20" xfId="0" applyFont="1" applyBorder="1" applyAlignment="1">
      <alignment horizontal="left" vertical="top" wrapText="1"/>
    </xf>
    <xf numFmtId="0" fontId="5" fillId="9" borderId="0" xfId="0" applyFont="1" applyFill="1" applyAlignment="1">
      <alignment vertical="top"/>
    </xf>
    <xf numFmtId="0" fontId="0" fillId="9" borderId="0" xfId="0" applyFill="1" applyAlignment="1">
      <alignment vertical="top"/>
    </xf>
    <xf numFmtId="166" fontId="5" fillId="9" borderId="0" xfId="0" applyNumberFormat="1" applyFont="1" applyFill="1" applyAlignment="1">
      <alignment vertical="top"/>
    </xf>
    <xf numFmtId="0" fontId="0" fillId="7" borderId="5" xfId="0" applyFill="1" applyBorder="1" applyAlignment="1">
      <alignment horizontal="left" vertical="center" wrapText="1"/>
    </xf>
    <xf numFmtId="0" fontId="8" fillId="0" borderId="20" xfId="0" applyFont="1" applyBorder="1" applyAlignment="1">
      <alignment horizontal="left" vertical="top" wrapText="1"/>
    </xf>
    <xf numFmtId="0" fontId="0" fillId="0" borderId="5" xfId="0" applyBorder="1" applyAlignment="1">
      <alignment horizontal="left" vertical="top"/>
    </xf>
    <xf numFmtId="0" fontId="0" fillId="9" borderId="0" xfId="0" applyFill="1" applyAlignment="1">
      <alignment horizontal="left" vertical="top"/>
    </xf>
    <xf numFmtId="0" fontId="8" fillId="7" borderId="5"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16" xfId="0" applyFont="1" applyBorder="1" applyAlignment="1">
      <alignment horizontal="left" vertical="top" wrapText="1"/>
    </xf>
    <xf numFmtId="0" fontId="7" fillId="0" borderId="3" xfId="0" applyFont="1" applyBorder="1" applyAlignment="1">
      <alignment horizontal="left" vertical="top" wrapText="1"/>
    </xf>
    <xf numFmtId="0" fontId="7" fillId="0" borderId="17" xfId="0" applyFont="1" applyBorder="1" applyAlignment="1">
      <alignment horizontal="left" vertical="top" wrapText="1"/>
    </xf>
    <xf numFmtId="0" fontId="6" fillId="0" borderId="5" xfId="0" applyFont="1" applyBorder="1" applyAlignment="1">
      <alignment horizontal="left" vertical="top"/>
    </xf>
    <xf numFmtId="0" fontId="6" fillId="0" borderId="1" xfId="0" applyFont="1" applyBorder="1" applyAlignment="1">
      <alignment horizontal="left" vertical="top" wrapText="1"/>
    </xf>
    <xf numFmtId="0" fontId="6" fillId="0" borderId="18" xfId="0" applyFont="1" applyBorder="1" applyAlignment="1">
      <alignment horizontal="left" vertical="top" wrapText="1"/>
    </xf>
    <xf numFmtId="0" fontId="6" fillId="0" borderId="31" xfId="0" applyFont="1" applyBorder="1" applyAlignment="1">
      <alignment horizontal="left" vertical="top" wrapText="1"/>
    </xf>
    <xf numFmtId="0" fontId="6" fillId="0" borderId="3" xfId="0" applyFont="1" applyBorder="1" applyAlignment="1">
      <alignment horizontal="left" vertical="top" wrapText="1"/>
    </xf>
    <xf numFmtId="0" fontId="6" fillId="0" borderId="20" xfId="0" applyFont="1" applyBorder="1" applyAlignment="1">
      <alignment horizontal="left" vertical="top"/>
    </xf>
    <xf numFmtId="0" fontId="7" fillId="0" borderId="5" xfId="0" applyFont="1" applyBorder="1" applyAlignment="1">
      <alignment horizontal="left" vertical="top" wrapText="1"/>
    </xf>
    <xf numFmtId="0" fontId="6" fillId="0" borderId="31" xfId="0" applyFont="1" applyBorder="1" applyAlignment="1">
      <alignment horizontal="left" vertical="top"/>
    </xf>
    <xf numFmtId="0" fontId="0" fillId="0" borderId="7" xfId="0" applyBorder="1" applyAlignment="1">
      <alignment horizontal="left" vertical="top"/>
    </xf>
    <xf numFmtId="0" fontId="14" fillId="6" borderId="5" xfId="0" applyFont="1" applyFill="1" applyBorder="1" applyAlignment="1">
      <alignment horizontal="left" vertical="center" wrapText="1"/>
    </xf>
    <xf numFmtId="0" fontId="5" fillId="0" borderId="0" xfId="0" applyFont="1" applyAlignment="1">
      <alignment horizontal="left" vertical="top"/>
    </xf>
    <xf numFmtId="0" fontId="0" fillId="0" borderId="0" xfId="0" applyAlignment="1">
      <alignment horizontal="left" vertical="top"/>
    </xf>
    <xf numFmtId="0" fontId="7" fillId="0" borderId="14" xfId="0" applyFont="1" applyBorder="1" applyAlignment="1">
      <alignment horizontal="left" vertical="top" wrapText="1"/>
    </xf>
    <xf numFmtId="0" fontId="0" fillId="0" borderId="0" xfId="0" applyAlignment="1">
      <alignment horizontal="left"/>
    </xf>
    <xf numFmtId="0" fontId="0" fillId="7" borderId="5" xfId="0" applyFill="1" applyBorder="1" applyAlignment="1">
      <alignment vertical="center" wrapText="1"/>
    </xf>
    <xf numFmtId="0" fontId="0" fillId="7" borderId="7" xfId="0" applyFill="1" applyBorder="1" applyAlignment="1">
      <alignment vertical="center" wrapText="1"/>
    </xf>
    <xf numFmtId="0" fontId="0" fillId="7" borderId="6" xfId="0" applyFill="1" applyBorder="1" applyAlignment="1">
      <alignment vertical="center" wrapText="1"/>
    </xf>
    <xf numFmtId="0" fontId="0" fillId="7" borderId="20" xfId="0" applyFill="1" applyBorder="1" applyAlignment="1">
      <alignment vertical="center" wrapText="1"/>
    </xf>
    <xf numFmtId="9" fontId="8" fillId="0" borderId="5" xfId="0" applyNumberFormat="1" applyFont="1" applyBorder="1" applyAlignment="1">
      <alignment horizontal="left" vertical="top"/>
    </xf>
    <xf numFmtId="0" fontId="0" fillId="0" borderId="20" xfId="0" applyBorder="1" applyAlignment="1">
      <alignment horizontal="left" vertical="top"/>
    </xf>
    <xf numFmtId="0" fontId="10" fillId="0" borderId="5" xfId="0" applyFont="1" applyBorder="1" applyAlignment="1">
      <alignment horizontal="left" vertical="top"/>
    </xf>
    <xf numFmtId="0" fontId="10" fillId="0" borderId="5" xfId="0" applyFont="1" applyBorder="1" applyAlignment="1">
      <alignment horizontal="left" vertical="top" wrapText="1"/>
    </xf>
    <xf numFmtId="0" fontId="6" fillId="0" borderId="1" xfId="0" applyFont="1" applyBorder="1" applyAlignment="1">
      <alignment horizontal="left" vertical="top"/>
    </xf>
    <xf numFmtId="0" fontId="6" fillId="0" borderId="16" xfId="0" applyFont="1" applyBorder="1" applyAlignment="1">
      <alignment horizontal="left" vertical="top"/>
    </xf>
    <xf numFmtId="0" fontId="6" fillId="0" borderId="3" xfId="0" applyFont="1" applyBorder="1" applyAlignment="1">
      <alignment horizontal="left" vertical="top"/>
    </xf>
    <xf numFmtId="0" fontId="6" fillId="0" borderId="17" xfId="0" applyFont="1" applyBorder="1" applyAlignment="1">
      <alignment horizontal="left" vertical="top"/>
    </xf>
    <xf numFmtId="0" fontId="8" fillId="7" borderId="8" xfId="0" applyFont="1" applyFill="1" applyBorder="1" applyAlignment="1">
      <alignment horizontal="left" vertical="top" wrapText="1"/>
    </xf>
    <xf numFmtId="0" fontId="7" fillId="0" borderId="5" xfId="0" applyFont="1" applyBorder="1" applyAlignment="1">
      <alignment horizontal="left" vertical="top"/>
    </xf>
    <xf numFmtId="0" fontId="8" fillId="9" borderId="0" xfId="0" applyFont="1" applyFill="1" applyAlignment="1">
      <alignment horizontal="left" vertical="top"/>
    </xf>
    <xf numFmtId="0" fontId="7" fillId="9" borderId="0" xfId="0" applyFont="1" applyFill="1" applyAlignment="1">
      <alignment horizontal="left" vertical="top" wrapText="1"/>
    </xf>
    <xf numFmtId="0" fontId="7" fillId="9" borderId="0" xfId="0" applyFont="1" applyFill="1" applyAlignment="1">
      <alignment horizontal="left" vertical="top"/>
    </xf>
    <xf numFmtId="9" fontId="6" fillId="9" borderId="0" xfId="0" applyNumberFormat="1" applyFont="1" applyFill="1" applyAlignment="1">
      <alignment horizontal="left" vertical="top"/>
    </xf>
    <xf numFmtId="0" fontId="0" fillId="9" borderId="0" xfId="0" applyFill="1"/>
    <xf numFmtId="166" fontId="0" fillId="9" borderId="0" xfId="0" applyNumberFormat="1" applyFill="1" applyAlignment="1">
      <alignment vertical="top"/>
    </xf>
    <xf numFmtId="9" fontId="0" fillId="0" borderId="0" xfId="0" applyNumberFormat="1" applyAlignment="1">
      <alignment horizontal="left" vertical="top"/>
    </xf>
    <xf numFmtId="0" fontId="5" fillId="6" borderId="5" xfId="0" applyFont="1" applyFill="1" applyBorder="1" applyAlignment="1">
      <alignment horizontal="left" vertical="center" wrapText="1"/>
    </xf>
    <xf numFmtId="0" fontId="6" fillId="0" borderId="18" xfId="0" applyFont="1" applyBorder="1"/>
    <xf numFmtId="0" fontId="0" fillId="9" borderId="5" xfId="0" applyFill="1" applyBorder="1" applyAlignment="1">
      <alignment horizontal="left" vertical="top"/>
    </xf>
    <xf numFmtId="0" fontId="15" fillId="0" borderId="0" xfId="0" applyFont="1"/>
    <xf numFmtId="0" fontId="0" fillId="0" borderId="4" xfId="0" applyBorder="1" applyAlignment="1">
      <alignment horizontal="left" vertical="top"/>
    </xf>
    <xf numFmtId="167" fontId="5" fillId="6" borderId="5" xfId="0" applyNumberFormat="1" applyFont="1" applyFill="1" applyBorder="1" applyAlignment="1">
      <alignment horizontal="left" vertical="center" wrapText="1"/>
    </xf>
    <xf numFmtId="167" fontId="5" fillId="9" borderId="0" xfId="0" applyNumberFormat="1" applyFont="1" applyFill="1" applyAlignment="1">
      <alignment horizontal="left" vertical="top"/>
    </xf>
    <xf numFmtId="167" fontId="7" fillId="9" borderId="0" xfId="0" applyNumberFormat="1" applyFont="1" applyFill="1" applyAlignment="1">
      <alignment horizontal="left" vertical="top"/>
    </xf>
    <xf numFmtId="167" fontId="15" fillId="0" borderId="1" xfId="0" applyNumberFormat="1" applyFont="1" applyBorder="1" applyAlignment="1">
      <alignment vertical="top" wrapText="1"/>
    </xf>
    <xf numFmtId="167" fontId="15" fillId="7" borderId="1" xfId="0" applyNumberFormat="1" applyFont="1" applyFill="1" applyBorder="1" applyAlignment="1">
      <alignment vertical="top" wrapText="1"/>
    </xf>
    <xf numFmtId="167" fontId="0" fillId="9" borderId="0" xfId="0" applyNumberFormat="1" applyFill="1" applyAlignment="1">
      <alignment horizontal="left" vertical="top"/>
    </xf>
    <xf numFmtId="167" fontId="0" fillId="0" borderId="0" xfId="0" applyNumberFormat="1" applyAlignment="1">
      <alignment horizontal="left" vertical="top"/>
    </xf>
    <xf numFmtId="167" fontId="0" fillId="0" borderId="0" xfId="0" applyNumberFormat="1" applyAlignment="1">
      <alignment horizontal="left"/>
    </xf>
    <xf numFmtId="0" fontId="8" fillId="0" borderId="7" xfId="0" applyFont="1" applyBorder="1" applyAlignment="1">
      <alignment horizontal="left" vertical="top"/>
    </xf>
    <xf numFmtId="168" fontId="5" fillId="6" borderId="5" xfId="0" applyNumberFormat="1" applyFont="1" applyFill="1" applyBorder="1" applyAlignment="1">
      <alignment horizontal="center" vertical="center" wrapText="1"/>
    </xf>
    <xf numFmtId="168" fontId="5" fillId="6" borderId="5" xfId="0" applyNumberFormat="1" applyFont="1" applyFill="1" applyBorder="1" applyAlignment="1">
      <alignment vertical="center" wrapText="1"/>
    </xf>
    <xf numFmtId="168" fontId="8" fillId="0" borderId="5" xfId="0" applyNumberFormat="1" applyFont="1" applyBorder="1" applyAlignment="1">
      <alignment horizontal="left" vertical="top"/>
    </xf>
    <xf numFmtId="168" fontId="5" fillId="9" borderId="0" xfId="0" applyNumberFormat="1" applyFont="1" applyFill="1" applyAlignment="1">
      <alignment vertical="top"/>
    </xf>
    <xf numFmtId="168" fontId="0" fillId="0" borderId="5" xfId="0" applyNumberFormat="1" applyBorder="1" applyAlignment="1">
      <alignment horizontal="left" vertical="top"/>
    </xf>
    <xf numFmtId="168" fontId="0" fillId="9" borderId="0" xfId="0" applyNumberFormat="1" applyFill="1" applyAlignment="1">
      <alignment horizontal="left" vertical="top"/>
    </xf>
    <xf numFmtId="168" fontId="0" fillId="0" borderId="1" xfId="0" applyNumberFormat="1" applyBorder="1" applyAlignment="1">
      <alignment horizontal="left" vertical="top"/>
    </xf>
    <xf numFmtId="168" fontId="0" fillId="9" borderId="0" xfId="0" applyNumberFormat="1" applyFill="1" applyAlignment="1">
      <alignment vertical="top"/>
    </xf>
    <xf numFmtId="168" fontId="0" fillId="0" borderId="0" xfId="0" applyNumberFormat="1"/>
    <xf numFmtId="168" fontId="0" fillId="0" borderId="0" xfId="0" applyNumberFormat="1" applyAlignment="1">
      <alignment horizontal="left" vertical="top"/>
    </xf>
    <xf numFmtId="0" fontId="8" fillId="0" borderId="1" xfId="0" applyFont="1" applyBorder="1" applyAlignment="1">
      <alignment horizontal="left" vertical="top"/>
    </xf>
    <xf numFmtId="0" fontId="0" fillId="7" borderId="18" xfId="0" applyFill="1" applyBorder="1" applyAlignment="1">
      <alignment horizontal="left" vertical="center" wrapText="1"/>
    </xf>
    <xf numFmtId="9" fontId="8" fillId="9" borderId="5" xfId="0" applyNumberFormat="1" applyFont="1" applyFill="1" applyBorder="1" applyAlignment="1">
      <alignment horizontal="left" vertical="top"/>
    </xf>
    <xf numFmtId="0" fontId="8" fillId="9" borderId="5" xfId="0" applyFont="1" applyFill="1" applyBorder="1" applyAlignment="1">
      <alignment horizontal="left" vertical="top"/>
    </xf>
    <xf numFmtId="0" fontId="3" fillId="0" borderId="0" xfId="0" applyFont="1"/>
    <xf numFmtId="0" fontId="17" fillId="9" borderId="0" xfId="0" applyFont="1" applyFill="1" applyAlignment="1">
      <alignment vertical="center"/>
    </xf>
    <xf numFmtId="0" fontId="17" fillId="9" borderId="25" xfId="0" applyFont="1" applyFill="1" applyBorder="1" applyAlignment="1">
      <alignment vertical="center"/>
    </xf>
    <xf numFmtId="0" fontId="3" fillId="7" borderId="0" xfId="0" applyFont="1" applyFill="1"/>
    <xf numFmtId="0" fontId="17" fillId="9" borderId="25" xfId="0" applyFont="1" applyFill="1" applyBorder="1" applyAlignment="1">
      <alignment vertical="top"/>
    </xf>
    <xf numFmtId="0" fontId="3" fillId="9" borderId="25" xfId="0" applyFont="1" applyFill="1" applyBorder="1" applyAlignment="1">
      <alignment vertical="center"/>
    </xf>
    <xf numFmtId="0" fontId="3" fillId="9" borderId="5" xfId="0" applyFont="1" applyFill="1" applyBorder="1" applyAlignment="1">
      <alignment vertical="center"/>
    </xf>
    <xf numFmtId="0" fontId="17" fillId="7" borderId="0" xfId="0" applyFont="1" applyFill="1" applyAlignment="1">
      <alignment vertical="center"/>
    </xf>
    <xf numFmtId="0" fontId="17" fillId="0" borderId="0" xfId="0" applyFont="1" applyAlignment="1">
      <alignment vertical="center"/>
    </xf>
    <xf numFmtId="0" fontId="3" fillId="0" borderId="0" xfId="0" applyFont="1" applyAlignment="1">
      <alignment vertical="center"/>
    </xf>
    <xf numFmtId="0" fontId="3" fillId="9" borderId="0" xfId="0" applyFont="1" applyFill="1"/>
    <xf numFmtId="0" fontId="0" fillId="0" borderId="5" xfId="0" applyBorder="1" applyAlignment="1">
      <alignment vertical="top" wrapText="1"/>
    </xf>
    <xf numFmtId="0" fontId="0" fillId="0" borderId="6" xfId="0" applyBorder="1" applyAlignment="1">
      <alignment horizontal="left" vertical="top"/>
    </xf>
    <xf numFmtId="9" fontId="8" fillId="0" borderId="14" xfId="0" applyNumberFormat="1" applyFont="1" applyBorder="1" applyAlignment="1">
      <alignment horizontal="left" vertical="top"/>
    </xf>
    <xf numFmtId="168" fontId="0" fillId="0" borderId="5" xfId="0" applyNumberFormat="1" applyBorder="1"/>
    <xf numFmtId="0" fontId="0" fillId="9" borderId="6" xfId="0" applyFill="1" applyBorder="1" applyAlignment="1">
      <alignment horizontal="left" vertical="top"/>
    </xf>
    <xf numFmtId="168" fontId="8" fillId="9" borderId="5" xfId="0" applyNumberFormat="1" applyFont="1" applyFill="1" applyBorder="1" applyAlignment="1">
      <alignment horizontal="left" vertical="top"/>
    </xf>
    <xf numFmtId="0" fontId="13" fillId="0" borderId="23" xfId="0" quotePrefix="1" applyFont="1" applyBorder="1" applyAlignment="1">
      <alignment horizontal="left" vertical="top" wrapText="1"/>
    </xf>
    <xf numFmtId="166" fontId="0" fillId="0" borderId="5" xfId="0" applyNumberFormat="1" applyBorder="1" applyAlignment="1">
      <alignment vertical="top"/>
    </xf>
    <xf numFmtId="166" fontId="0" fillId="9" borderId="5" xfId="0" applyNumberFormat="1" applyFill="1" applyBorder="1" applyAlignment="1">
      <alignment vertical="top"/>
    </xf>
    <xf numFmtId="166" fontId="0" fillId="0" borderId="1" xfId="0" applyNumberFormat="1" applyBorder="1" applyAlignment="1">
      <alignment vertical="top"/>
    </xf>
    <xf numFmtId="166" fontId="0" fillId="0" borderId="0" xfId="0" applyNumberFormat="1" applyAlignment="1">
      <alignment vertical="top"/>
    </xf>
    <xf numFmtId="166" fontId="5" fillId="6" borderId="5" xfId="0" applyNumberFormat="1" applyFont="1" applyFill="1" applyBorder="1" applyAlignment="1">
      <alignment vertical="top" wrapText="1"/>
    </xf>
    <xf numFmtId="3" fontId="0" fillId="0" borderId="5" xfId="0" applyNumberFormat="1" applyBorder="1" applyAlignment="1">
      <alignment vertical="top"/>
    </xf>
    <xf numFmtId="9" fontId="20" fillId="2" borderId="2" xfId="1" applyNumberFormat="1" applyFont="1" applyFill="1" applyBorder="1" applyAlignment="1">
      <alignment horizontal="center" vertical="center" wrapText="1"/>
    </xf>
    <xf numFmtId="0" fontId="20" fillId="7" borderId="2" xfId="1" applyFont="1" applyFill="1" applyBorder="1" applyAlignment="1">
      <alignment horizontal="center" vertical="center" wrapText="1"/>
    </xf>
    <xf numFmtId="0" fontId="19" fillId="7" borderId="1" xfId="1" applyFont="1" applyFill="1" applyBorder="1" applyAlignment="1">
      <alignment vertical="center"/>
    </xf>
    <xf numFmtId="0" fontId="20" fillId="2" borderId="1" xfId="1" applyFont="1" applyFill="1" applyBorder="1" applyAlignment="1">
      <alignment horizontal="center" vertical="center" wrapText="1"/>
    </xf>
    <xf numFmtId="167" fontId="20" fillId="2" borderId="1" xfId="1" applyNumberFormat="1" applyFont="1" applyFill="1" applyBorder="1" applyAlignment="1">
      <alignment horizontal="center" vertical="center" wrapText="1"/>
    </xf>
    <xf numFmtId="1" fontId="20" fillId="2" borderId="17" xfId="1" applyNumberFormat="1" applyFont="1" applyFill="1" applyBorder="1" applyAlignment="1">
      <alignment horizontal="center" vertical="center" wrapText="1"/>
    </xf>
    <xf numFmtId="0" fontId="20" fillId="2" borderId="31" xfId="1" applyFont="1" applyFill="1" applyBorder="1" applyAlignment="1">
      <alignment horizontal="center" vertical="center" wrapText="1"/>
    </xf>
    <xf numFmtId="0" fontId="20" fillId="7" borderId="4" xfId="1" applyFont="1" applyFill="1" applyBorder="1" applyAlignment="1">
      <alignment horizontal="center" vertical="center" wrapText="1"/>
    </xf>
    <xf numFmtId="0" fontId="20" fillId="3" borderId="1" xfId="0" applyFont="1" applyFill="1" applyBorder="1" applyAlignment="1">
      <alignment horizontal="left" vertical="top" wrapText="1"/>
    </xf>
    <xf numFmtId="0" fontId="20" fillId="3" borderId="1" xfId="1" applyFont="1" applyFill="1" applyBorder="1" applyAlignment="1">
      <alignment horizontal="left" vertical="top" wrapText="1"/>
    </xf>
    <xf numFmtId="0" fontId="17" fillId="0" borderId="0" xfId="0" applyFont="1"/>
    <xf numFmtId="0" fontId="19" fillId="7" borderId="1" xfId="1" applyFont="1" applyFill="1" applyBorder="1"/>
    <xf numFmtId="0" fontId="20" fillId="3" borderId="4" xfId="0" applyFont="1" applyFill="1" applyBorder="1" applyAlignment="1">
      <alignment horizontal="left" vertical="top" wrapText="1"/>
    </xf>
    <xf numFmtId="0" fontId="20" fillId="4" borderId="1" xfId="1" applyFont="1" applyFill="1" applyBorder="1" applyAlignment="1">
      <alignment horizontal="left" vertical="top" wrapText="1"/>
    </xf>
    <xf numFmtId="0" fontId="20" fillId="4" borderId="1" xfId="0" applyFont="1" applyFill="1" applyBorder="1" applyAlignment="1">
      <alignment horizontal="left" vertical="top" wrapText="1"/>
    </xf>
    <xf numFmtId="0" fontId="20" fillId="5" borderId="1" xfId="1" applyFont="1" applyFill="1" applyBorder="1" applyAlignment="1">
      <alignment horizontal="left" vertical="top" wrapText="1"/>
    </xf>
    <xf numFmtId="0" fontId="20" fillId="6" borderId="1" xfId="1" applyFont="1" applyFill="1" applyBorder="1" applyAlignment="1">
      <alignment horizontal="left" vertical="top" wrapText="1"/>
    </xf>
    <xf numFmtId="0" fontId="19" fillId="0" borderId="0" xfId="1" applyFont="1" applyAlignment="1">
      <alignment wrapText="1"/>
    </xf>
    <xf numFmtId="0" fontId="19" fillId="0" borderId="0" xfId="1" applyFont="1" applyAlignment="1">
      <alignment horizontal="center" wrapText="1"/>
    </xf>
    <xf numFmtId="0" fontId="19" fillId="0" borderId="0" xfId="1" applyFont="1" applyAlignment="1">
      <alignment horizontal="center"/>
    </xf>
    <xf numFmtId="0" fontId="19" fillId="0" borderId="0" xfId="1" applyFont="1"/>
    <xf numFmtId="9" fontId="19" fillId="0" borderId="0" xfId="1" applyNumberFormat="1" applyFont="1"/>
    <xf numFmtId="1" fontId="19" fillId="0" borderId="0" xfId="1" applyNumberFormat="1" applyFont="1"/>
    <xf numFmtId="0" fontId="19" fillId="0" borderId="0" xfId="1" applyFont="1" applyAlignment="1">
      <alignment horizontal="left" vertical="top" wrapText="1"/>
    </xf>
    <xf numFmtId="0" fontId="0" fillId="7" borderId="7" xfId="0" applyFill="1" applyBorder="1" applyAlignment="1">
      <alignment horizontal="left" vertical="top"/>
    </xf>
    <xf numFmtId="0" fontId="0" fillId="7" borderId="5" xfId="0" applyFill="1" applyBorder="1" applyAlignment="1">
      <alignment horizontal="left" vertical="top"/>
    </xf>
    <xf numFmtId="0" fontId="8" fillId="0" borderId="7" xfId="0" applyFont="1" applyBorder="1" applyAlignment="1">
      <alignment horizontal="left" vertical="top" wrapText="1"/>
    </xf>
    <xf numFmtId="0" fontId="0" fillId="0" borderId="1" xfId="0" applyBorder="1" applyAlignment="1">
      <alignment horizontal="left" vertical="top" wrapText="1"/>
    </xf>
    <xf numFmtId="0" fontId="2" fillId="0" borderId="0" xfId="0" applyFont="1" applyAlignment="1">
      <alignment horizontal="left" vertical="top"/>
    </xf>
    <xf numFmtId="0" fontId="2" fillId="0" borderId="0" xfId="0" applyFont="1" applyAlignment="1">
      <alignment horizontal="center" vertical="top"/>
    </xf>
    <xf numFmtId="0" fontId="2" fillId="0" borderId="0" xfId="0" applyFont="1" applyAlignment="1">
      <alignment horizontal="center" vertical="center"/>
    </xf>
    <xf numFmtId="167" fontId="2" fillId="0" borderId="0" xfId="0" applyNumberFormat="1" applyFont="1" applyAlignment="1">
      <alignment horizontal="center" vertical="center"/>
    </xf>
    <xf numFmtId="0" fontId="2" fillId="0" borderId="0" xfId="0" applyFont="1"/>
    <xf numFmtId="0" fontId="2" fillId="0" borderId="0" xfId="0" applyFont="1" applyAlignment="1">
      <alignment horizontal="left" vertical="center" wrapText="1"/>
    </xf>
    <xf numFmtId="0" fontId="0" fillId="0" borderId="6" xfId="0" applyBorder="1" applyAlignment="1">
      <alignment horizontal="left" vertical="top" wrapText="1"/>
    </xf>
    <xf numFmtId="0" fontId="0" fillId="0" borderId="0" xfId="0" applyAlignment="1">
      <alignment horizontal="left" vertical="top" wrapText="1"/>
    </xf>
    <xf numFmtId="0" fontId="0" fillId="0" borderId="20" xfId="0" applyBorder="1" applyAlignment="1">
      <alignment horizontal="left" vertical="top" wrapText="1"/>
    </xf>
    <xf numFmtId="0" fontId="0" fillId="0" borderId="0" xfId="0" quotePrefix="1" applyAlignment="1">
      <alignment horizontal="left" vertical="top" wrapText="1"/>
    </xf>
    <xf numFmtId="0" fontId="0" fillId="9" borderId="13" xfId="0" quotePrefix="1" applyFill="1" applyBorder="1" applyAlignment="1">
      <alignment horizontal="left" vertical="top"/>
    </xf>
    <xf numFmtId="0" fontId="0" fillId="9" borderId="5" xfId="0" applyFill="1" applyBorder="1" applyAlignment="1">
      <alignment vertical="top"/>
    </xf>
    <xf numFmtId="0" fontId="0" fillId="0" borderId="18" xfId="0" applyBorder="1" applyAlignment="1">
      <alignment horizontal="left" vertical="top" wrapText="1"/>
    </xf>
    <xf numFmtId="0" fontId="0" fillId="0" borderId="0" xfId="0" applyAlignment="1">
      <alignment horizontal="left" vertical="center" wrapText="1"/>
    </xf>
    <xf numFmtId="0" fontId="0" fillId="9" borderId="13" xfId="0" applyFill="1" applyBorder="1" applyAlignment="1">
      <alignment horizontal="left" vertical="top"/>
    </xf>
    <xf numFmtId="0" fontId="0" fillId="9" borderId="0" xfId="0" applyFill="1" applyAlignment="1">
      <alignment vertical="center"/>
    </xf>
    <xf numFmtId="0" fontId="0" fillId="9" borderId="7" xfId="0" applyFill="1" applyBorder="1" applyAlignment="1">
      <alignment vertical="center"/>
    </xf>
    <xf numFmtId="0" fontId="0" fillId="0" borderId="7" xfId="0" applyBorder="1" applyAlignment="1">
      <alignment horizontal="left" vertical="top" wrapText="1"/>
    </xf>
    <xf numFmtId="0" fontId="0" fillId="0" borderId="20" xfId="0" quotePrefix="1" applyBorder="1" applyAlignment="1">
      <alignment horizontal="left" vertical="top" wrapText="1"/>
    </xf>
    <xf numFmtId="0" fontId="0" fillId="0" borderId="14" xfId="0" applyBorder="1" applyAlignment="1">
      <alignment horizontal="left" vertical="top" wrapText="1"/>
    </xf>
    <xf numFmtId="0" fontId="13" fillId="0" borderId="5" xfId="0" quotePrefix="1" applyFont="1" applyBorder="1" applyAlignment="1">
      <alignment horizontal="left" vertical="top" wrapText="1"/>
    </xf>
    <xf numFmtId="0" fontId="0" fillId="0" borderId="7" xfId="0" quotePrefix="1" applyBorder="1" applyAlignment="1">
      <alignment horizontal="left" vertical="top" wrapText="1"/>
    </xf>
    <xf numFmtId="0" fontId="0" fillId="0" borderId="8" xfId="0" applyBorder="1" applyAlignment="1">
      <alignment horizontal="left" vertical="top" wrapText="1"/>
    </xf>
    <xf numFmtId="0" fontId="0" fillId="9" borderId="20" xfId="0" applyFill="1" applyBorder="1" applyAlignment="1">
      <alignment horizontal="left" vertical="top"/>
    </xf>
    <xf numFmtId="0" fontId="0" fillId="9" borderId="14" xfId="0" applyFill="1" applyBorder="1" applyAlignment="1">
      <alignment horizontal="left" vertical="top"/>
    </xf>
    <xf numFmtId="0" fontId="0" fillId="0" borderId="0" xfId="0" applyAlignment="1">
      <alignment horizontal="center" vertical="center" wrapText="1"/>
    </xf>
    <xf numFmtId="0" fontId="0" fillId="0" borderId="0" xfId="0" applyAlignment="1">
      <alignment horizontal="center" vertical="center"/>
    </xf>
    <xf numFmtId="0" fontId="0" fillId="0" borderId="5" xfId="0" applyBorder="1" applyAlignment="1">
      <alignment horizontal="left" vertical="center"/>
    </xf>
    <xf numFmtId="0" fontId="0" fillId="9" borderId="0" xfId="0" applyFill="1" applyAlignment="1">
      <alignment horizontal="left" vertical="center"/>
    </xf>
    <xf numFmtId="0" fontId="0" fillId="9" borderId="5" xfId="0" applyFill="1" applyBorder="1" applyAlignment="1">
      <alignment horizontal="left" vertical="center"/>
    </xf>
    <xf numFmtId="0" fontId="0" fillId="0" borderId="0" xfId="0" applyAlignment="1">
      <alignment horizontal="left" vertical="center"/>
    </xf>
    <xf numFmtId="0" fontId="8" fillId="0" borderId="0" xfId="0" applyFont="1" applyAlignment="1">
      <alignment horizontal="center" vertical="center"/>
    </xf>
    <xf numFmtId="165" fontId="8" fillId="0" borderId="5" xfId="0" applyNumberFormat="1" applyFont="1" applyBorder="1" applyAlignment="1">
      <alignment horizontal="left" vertical="top" wrapText="1"/>
    </xf>
    <xf numFmtId="0" fontId="8" fillId="0" borderId="0" xfId="0" applyFont="1" applyAlignment="1">
      <alignment horizontal="left" vertical="top"/>
    </xf>
    <xf numFmtId="0" fontId="8" fillId="0" borderId="13" xfId="0" applyFont="1" applyBorder="1" applyAlignment="1">
      <alignment vertical="top" wrapText="1"/>
    </xf>
    <xf numFmtId="0" fontId="8" fillId="0" borderId="0" xfId="0" applyFont="1" applyAlignment="1">
      <alignment vertical="top" wrapText="1"/>
    </xf>
    <xf numFmtId="0" fontId="8" fillId="0" borderId="5" xfId="0" applyFont="1" applyBorder="1" applyAlignment="1">
      <alignment vertical="top" wrapText="1"/>
    </xf>
    <xf numFmtId="0" fontId="8" fillId="0" borderId="23" xfId="0" applyFont="1" applyBorder="1" applyAlignment="1">
      <alignment vertical="top" wrapText="1"/>
    </xf>
    <xf numFmtId="0" fontId="7" fillId="0" borderId="23" xfId="0" applyFont="1" applyBorder="1" applyAlignment="1">
      <alignment horizontal="left" vertical="top" wrapText="1"/>
    </xf>
    <xf numFmtId="0" fontId="8" fillId="0" borderId="11" xfId="0" applyFont="1" applyBorder="1" applyAlignment="1">
      <alignment horizontal="left" vertical="top" wrapText="1"/>
    </xf>
    <xf numFmtId="0" fontId="7" fillId="0" borderId="20" xfId="0" applyFont="1" applyBorder="1" applyAlignment="1">
      <alignment horizontal="left" vertical="top" wrapText="1"/>
    </xf>
    <xf numFmtId="0" fontId="7" fillId="0" borderId="21" xfId="0" applyFont="1" applyBorder="1" applyAlignment="1">
      <alignment horizontal="left" vertical="top" wrapText="1"/>
    </xf>
    <xf numFmtId="0" fontId="8" fillId="0" borderId="0" xfId="0" applyFont="1" applyAlignment="1">
      <alignment horizontal="left" vertical="top" wrapText="1"/>
    </xf>
    <xf numFmtId="0" fontId="7" fillId="0" borderId="24" xfId="0" applyFont="1" applyBorder="1" applyAlignment="1">
      <alignment horizontal="left" vertical="top" wrapText="1"/>
    </xf>
    <xf numFmtId="0" fontId="8" fillId="0" borderId="22" xfId="0" applyFont="1" applyBorder="1" applyAlignment="1">
      <alignment horizontal="left" vertical="top" wrapText="1"/>
    </xf>
    <xf numFmtId="0" fontId="7" fillId="0" borderId="13" xfId="0" applyFont="1" applyBorder="1" applyAlignment="1">
      <alignment vertical="top" wrapText="1"/>
    </xf>
    <xf numFmtId="0" fontId="7" fillId="0" borderId="0" xfId="0" applyFont="1" applyAlignment="1">
      <alignment vertical="top" wrapText="1"/>
    </xf>
    <xf numFmtId="0" fontId="6" fillId="0" borderId="5" xfId="0" applyFont="1" applyBorder="1" applyAlignment="1">
      <alignment horizontal="left" vertical="top" wrapText="1"/>
    </xf>
    <xf numFmtId="165" fontId="6" fillId="0" borderId="5" xfId="0" applyNumberFormat="1" applyFont="1" applyBorder="1" applyAlignment="1">
      <alignment horizontal="left" vertical="top" wrapText="1"/>
    </xf>
    <xf numFmtId="0" fontId="8" fillId="0" borderId="14" xfId="0" applyFont="1" applyBorder="1" applyAlignment="1">
      <alignment horizontal="left" vertical="top" wrapText="1"/>
    </xf>
    <xf numFmtId="0" fontId="6" fillId="0" borderId="17" xfId="0" applyFont="1" applyBorder="1" applyAlignment="1">
      <alignment horizontal="left" vertical="top" wrapText="1"/>
    </xf>
    <xf numFmtId="165" fontId="6" fillId="0" borderId="17" xfId="0" applyNumberFormat="1" applyFont="1" applyBorder="1" applyAlignment="1">
      <alignment horizontal="left" vertical="top" wrapText="1"/>
    </xf>
    <xf numFmtId="0" fontId="6" fillId="0" borderId="16" xfId="0" applyFont="1" applyBorder="1" applyAlignment="1">
      <alignment horizontal="left" vertical="top" wrapText="1"/>
    </xf>
    <xf numFmtId="165" fontId="6" fillId="0" borderId="16" xfId="0" applyNumberFormat="1" applyFont="1" applyBorder="1" applyAlignment="1">
      <alignment horizontal="left" vertical="top" wrapText="1"/>
    </xf>
    <xf numFmtId="0" fontId="6" fillId="0" borderId="4" xfId="0" applyFont="1" applyBorder="1" applyAlignment="1">
      <alignment horizontal="left" vertical="top" wrapText="1"/>
    </xf>
    <xf numFmtId="0" fontId="6" fillId="0" borderId="33" xfId="0" applyFont="1" applyBorder="1" applyAlignment="1">
      <alignment horizontal="left" vertical="top" wrapText="1"/>
    </xf>
    <xf numFmtId="165" fontId="6" fillId="0" borderId="33" xfId="0" applyNumberFormat="1" applyFont="1" applyBorder="1" applyAlignment="1">
      <alignment horizontal="left" vertical="top" wrapText="1"/>
    </xf>
    <xf numFmtId="0" fontId="8" fillId="0" borderId="1" xfId="0" applyFont="1" applyBorder="1" applyAlignment="1">
      <alignment horizontal="left" vertical="top" wrapText="1"/>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8" fillId="0" borderId="1" xfId="0" quotePrefix="1" applyFont="1" applyBorder="1" applyAlignment="1">
      <alignment horizontal="left" vertical="top" wrapText="1"/>
    </xf>
    <xf numFmtId="165" fontId="8" fillId="0" borderId="1" xfId="0" applyNumberFormat="1" applyFont="1" applyBorder="1" applyAlignment="1">
      <alignment horizontal="left" vertical="top" wrapText="1"/>
    </xf>
    <xf numFmtId="0" fontId="23" fillId="0" borderId="1" xfId="0" applyFont="1" applyBorder="1" applyAlignment="1">
      <alignment horizontal="left" vertical="top" wrapText="1"/>
    </xf>
    <xf numFmtId="0" fontId="8" fillId="0" borderId="0" xfId="0" applyFont="1" applyAlignment="1">
      <alignment vertical="top"/>
    </xf>
    <xf numFmtId="0" fontId="25" fillId="0" borderId="5" xfId="0" applyFont="1" applyBorder="1" applyAlignment="1">
      <alignment horizontal="left" vertical="top" wrapText="1"/>
    </xf>
    <xf numFmtId="0" fontId="8" fillId="0" borderId="25" xfId="0" applyFont="1" applyBorder="1" applyAlignment="1">
      <alignment horizontal="center" vertical="top" wrapText="1"/>
    </xf>
    <xf numFmtId="0" fontId="25" fillId="0" borderId="25" xfId="0" applyFont="1" applyBorder="1" applyAlignment="1">
      <alignment horizontal="center" vertical="top" wrapText="1"/>
    </xf>
    <xf numFmtId="0" fontId="25" fillId="0" borderId="7" xfId="0" applyFont="1" applyBorder="1" applyAlignment="1">
      <alignment horizontal="left" vertical="top" wrapText="1"/>
    </xf>
    <xf numFmtId="0" fontId="25" fillId="0" borderId="14" xfId="0" applyFont="1" applyBorder="1" applyAlignment="1">
      <alignment horizontal="left" vertical="top" wrapText="1"/>
    </xf>
    <xf numFmtId="0" fontId="8" fillId="0" borderId="0" xfId="0" applyFont="1" applyAlignment="1">
      <alignment horizontal="center" vertical="top"/>
    </xf>
    <xf numFmtId="0" fontId="8" fillId="0" borderId="0" xfId="0" applyFont="1"/>
    <xf numFmtId="0" fontId="8" fillId="0" borderId="0" xfId="0" applyFont="1" applyAlignment="1">
      <alignment horizontal="center" vertical="center" wrapText="1"/>
    </xf>
    <xf numFmtId="0" fontId="8" fillId="0" borderId="0" xfId="0" applyFont="1" applyAlignment="1">
      <alignment vertical="center" wrapText="1"/>
    </xf>
    <xf numFmtId="165" fontId="8" fillId="0" borderId="0" xfId="0" applyNumberFormat="1" applyFont="1"/>
    <xf numFmtId="0" fontId="14" fillId="8" borderId="7"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4" fillId="8" borderId="19"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4" fillId="8" borderId="15" xfId="0" applyFont="1" applyFill="1" applyBorder="1" applyAlignment="1">
      <alignment horizontal="center" vertical="center" wrapText="1"/>
    </xf>
    <xf numFmtId="165" fontId="14" fillId="8" borderId="7" xfId="0" applyNumberFormat="1" applyFont="1" applyFill="1" applyBorder="1" applyAlignment="1">
      <alignment horizontal="center" vertical="center" wrapText="1"/>
    </xf>
    <xf numFmtId="0" fontId="14" fillId="8" borderId="0" xfId="0" applyFont="1" applyFill="1" applyAlignment="1">
      <alignment horizontal="center" vertical="center"/>
    </xf>
    <xf numFmtId="0" fontId="0" fillId="15" borderId="5" xfId="0" applyFill="1" applyBorder="1" applyAlignment="1">
      <alignment wrapText="1"/>
    </xf>
    <xf numFmtId="0" fontId="5" fillId="15" borderId="5" xfId="0" applyFont="1" applyFill="1" applyBorder="1" applyAlignment="1">
      <alignment wrapText="1"/>
    </xf>
    <xf numFmtId="0" fontId="5" fillId="16" borderId="5" xfId="0" applyFont="1" applyFill="1" applyBorder="1"/>
    <xf numFmtId="0" fontId="5" fillId="17" borderId="5" xfId="0" applyFont="1" applyFill="1" applyBorder="1"/>
    <xf numFmtId="0" fontId="5" fillId="18" borderId="5" xfId="0" applyFont="1" applyFill="1" applyBorder="1"/>
    <xf numFmtId="0" fontId="8" fillId="0" borderId="5" xfId="0" applyFont="1" applyBorder="1" applyAlignment="1">
      <alignment horizontal="left" vertical="center" wrapText="1"/>
    </xf>
    <xf numFmtId="0" fontId="0" fillId="0" borderId="5" xfId="0" applyBorder="1" applyAlignment="1">
      <alignment horizontal="left" vertical="center" wrapText="1"/>
    </xf>
    <xf numFmtId="0" fontId="25" fillId="0" borderId="8" xfId="0" applyFont="1" applyBorder="1" applyAlignment="1">
      <alignment horizontal="left" vertical="top" wrapText="1"/>
    </xf>
    <xf numFmtId="0" fontId="25" fillId="0" borderId="5" xfId="0" applyFont="1" applyBorder="1" applyAlignment="1">
      <alignment horizontal="left" vertical="center" wrapText="1"/>
    </xf>
    <xf numFmtId="164" fontId="0" fillId="0" borderId="5" xfId="0" applyNumberFormat="1" applyBorder="1" applyAlignment="1">
      <alignment horizontal="left" vertical="center" wrapText="1"/>
    </xf>
    <xf numFmtId="0" fontId="0" fillId="9" borderId="5" xfId="0" applyFill="1" applyBorder="1" applyAlignment="1">
      <alignment wrapText="1"/>
    </xf>
    <xf numFmtId="0" fontId="0" fillId="7" borderId="0" xfId="0" applyFill="1" applyAlignment="1">
      <alignment vertical="top"/>
    </xf>
    <xf numFmtId="0" fontId="0" fillId="7" borderId="7" xfId="0" applyFill="1" applyBorder="1" applyAlignment="1">
      <alignment vertical="top"/>
    </xf>
    <xf numFmtId="0" fontId="0" fillId="9" borderId="0" xfId="0" applyFill="1" applyAlignment="1">
      <alignment wrapText="1"/>
    </xf>
    <xf numFmtId="0" fontId="0" fillId="9" borderId="23" xfId="0" applyFill="1" applyBorder="1" applyAlignment="1">
      <alignment horizontal="left" vertical="top"/>
    </xf>
    <xf numFmtId="0" fontId="0" fillId="9" borderId="9" xfId="0" applyFill="1" applyBorder="1" applyAlignment="1">
      <alignment horizontal="left" vertical="center"/>
    </xf>
    <xf numFmtId="0" fontId="0" fillId="9" borderId="7" xfId="0" applyFill="1" applyBorder="1" applyAlignment="1">
      <alignment horizontal="left" vertical="top"/>
    </xf>
    <xf numFmtId="0" fontId="0" fillId="9" borderId="7" xfId="0" applyFill="1" applyBorder="1" applyAlignment="1">
      <alignment horizontal="left" vertical="top" wrapText="1"/>
    </xf>
    <xf numFmtId="0" fontId="0" fillId="9" borderId="25" xfId="0" applyFill="1" applyBorder="1" applyAlignment="1">
      <alignment horizontal="left" vertical="top"/>
    </xf>
    <xf numFmtId="0" fontId="0" fillId="0" borderId="7" xfId="0" applyBorder="1" applyAlignment="1">
      <alignment vertical="top" wrapText="1"/>
    </xf>
    <xf numFmtId="0" fontId="0" fillId="0" borderId="6" xfId="0" applyBorder="1" applyAlignment="1">
      <alignment vertical="top" wrapText="1"/>
    </xf>
    <xf numFmtId="0" fontId="0" fillId="0" borderId="25" xfId="0" applyBorder="1" applyAlignment="1">
      <alignment horizontal="left" vertical="top" wrapText="1"/>
    </xf>
    <xf numFmtId="164" fontId="0" fillId="0" borderId="0" xfId="0" applyNumberFormat="1"/>
    <xf numFmtId="0" fontId="0" fillId="9" borderId="25" xfId="0" applyFill="1" applyBorder="1" applyAlignment="1">
      <alignment horizontal="center" vertical="top"/>
    </xf>
    <xf numFmtId="0" fontId="0" fillId="9" borderId="25" xfId="0" applyFill="1" applyBorder="1" applyAlignment="1">
      <alignment horizontal="center" vertical="center"/>
    </xf>
    <xf numFmtId="167" fontId="0" fillId="9" borderId="25" xfId="0" applyNumberFormat="1" applyFill="1" applyBorder="1" applyAlignment="1">
      <alignment horizontal="center" vertical="center"/>
    </xf>
    <xf numFmtId="0" fontId="0" fillId="9" borderId="5" xfId="0" applyFill="1" applyBorder="1"/>
    <xf numFmtId="3" fontId="0" fillId="9" borderId="5" xfId="0" applyNumberFormat="1" applyFill="1" applyBorder="1" applyAlignment="1">
      <alignment vertical="top"/>
    </xf>
    <xf numFmtId="168" fontId="0" fillId="9" borderId="5" xfId="0" applyNumberFormat="1" applyFill="1" applyBorder="1"/>
    <xf numFmtId="0" fontId="4" fillId="6" borderId="1" xfId="1" applyFill="1" applyBorder="1" applyAlignment="1">
      <alignment horizontal="left" vertical="top" wrapText="1"/>
    </xf>
    <xf numFmtId="0" fontId="4" fillId="5" borderId="1" xfId="1" applyFill="1" applyBorder="1" applyAlignment="1">
      <alignment horizontal="left" vertical="top" wrapText="1"/>
    </xf>
    <xf numFmtId="0" fontId="4" fillId="4" borderId="1" xfId="1" applyFill="1" applyBorder="1" applyAlignment="1">
      <alignment horizontal="left" vertical="top" wrapText="1"/>
    </xf>
    <xf numFmtId="0" fontId="4" fillId="3" borderId="1" xfId="1" applyFill="1" applyBorder="1" applyAlignment="1">
      <alignment horizontal="left" vertical="top" wrapText="1"/>
    </xf>
    <xf numFmtId="164" fontId="0" fillId="0" borderId="5" xfId="0" applyNumberFormat="1" applyBorder="1"/>
    <xf numFmtId="9" fontId="5" fillId="6" borderId="5" xfId="0" applyNumberFormat="1" applyFont="1" applyFill="1" applyBorder="1" applyAlignment="1">
      <alignment horizontal="left" vertical="center" wrapText="1"/>
    </xf>
    <xf numFmtId="9" fontId="0" fillId="0" borderId="5" xfId="0" applyNumberFormat="1" applyBorder="1" applyAlignment="1">
      <alignment horizontal="left"/>
    </xf>
    <xf numFmtId="9" fontId="0" fillId="0" borderId="0" xfId="0" applyNumberFormat="1" applyAlignment="1">
      <alignment horizontal="left"/>
    </xf>
    <xf numFmtId="0" fontId="20" fillId="5" borderId="0" xfId="0" applyFont="1" applyFill="1" applyAlignment="1">
      <alignment horizontal="center" vertical="top" wrapText="1"/>
    </xf>
    <xf numFmtId="1" fontId="5" fillId="6" borderId="20" xfId="0" applyNumberFormat="1" applyFont="1" applyFill="1" applyBorder="1" applyAlignment="1">
      <alignment horizontal="center" vertical="center" wrapText="1"/>
    </xf>
    <xf numFmtId="1" fontId="0" fillId="0" borderId="20" xfId="0" applyNumberFormat="1" applyBorder="1" applyAlignment="1">
      <alignment horizontal="left" vertical="top"/>
    </xf>
    <xf numFmtId="1" fontId="0" fillId="0" borderId="30" xfId="0" applyNumberFormat="1" applyBorder="1" applyAlignment="1">
      <alignment horizontal="left" vertical="top"/>
    </xf>
    <xf numFmtId="1" fontId="5" fillId="9" borderId="0" xfId="0" applyNumberFormat="1" applyFont="1" applyFill="1" applyAlignment="1">
      <alignment vertical="top"/>
    </xf>
    <xf numFmtId="1" fontId="0" fillId="0" borderId="13" xfId="0" applyNumberFormat="1" applyBorder="1" applyAlignment="1">
      <alignment horizontal="left" vertical="top"/>
    </xf>
    <xf numFmtId="1" fontId="0" fillId="0" borderId="23" xfId="0" applyNumberFormat="1" applyBorder="1" applyAlignment="1">
      <alignment horizontal="left" vertical="top"/>
    </xf>
    <xf numFmtId="1" fontId="0" fillId="0" borderId="1" xfId="0" applyNumberFormat="1" applyBorder="1" applyAlignment="1">
      <alignment horizontal="left" vertical="top"/>
    </xf>
    <xf numFmtId="1" fontId="7" fillId="0" borderId="5" xfId="0" applyNumberFormat="1" applyFont="1" applyBorder="1" applyAlignment="1">
      <alignment horizontal="left" vertical="top"/>
    </xf>
    <xf numFmtId="1" fontId="6" fillId="0" borderId="1" xfId="0" applyNumberFormat="1" applyFont="1" applyBorder="1" applyAlignment="1">
      <alignment horizontal="left" vertical="top"/>
    </xf>
    <xf numFmtId="1" fontId="6" fillId="0" borderId="3" xfId="0" applyNumberFormat="1" applyFont="1" applyBorder="1" applyAlignment="1">
      <alignment horizontal="left" vertical="top"/>
    </xf>
    <xf numFmtId="1" fontId="6" fillId="0" borderId="17" xfId="0" applyNumberFormat="1" applyFont="1" applyBorder="1" applyAlignment="1">
      <alignment horizontal="left" vertical="top"/>
    </xf>
    <xf numFmtId="1" fontId="7" fillId="9" borderId="0" xfId="0" applyNumberFormat="1" applyFont="1" applyFill="1" applyAlignment="1">
      <alignment horizontal="left" vertical="top"/>
    </xf>
    <xf numFmtId="1" fontId="0" fillId="9" borderId="0" xfId="0" applyNumberFormat="1" applyFill="1" applyAlignment="1">
      <alignment vertical="top"/>
    </xf>
    <xf numFmtId="1" fontId="0" fillId="0" borderId="20" xfId="0" applyNumberFormat="1" applyBorder="1"/>
    <xf numFmtId="1" fontId="0" fillId="0" borderId="5" xfId="0" applyNumberFormat="1" applyBorder="1"/>
    <xf numFmtId="1" fontId="0" fillId="9" borderId="20" xfId="0" applyNumberFormat="1" applyFill="1" applyBorder="1"/>
    <xf numFmtId="1" fontId="0" fillId="0" borderId="0" xfId="0" applyNumberFormat="1"/>
    <xf numFmtId="1" fontId="0" fillId="0" borderId="0" xfId="0" applyNumberFormat="1" applyAlignment="1">
      <alignment horizontal="left" vertical="top"/>
    </xf>
    <xf numFmtId="0" fontId="15" fillId="0" borderId="0" xfId="0" applyFont="1" applyAlignment="1">
      <alignment horizontal="left" vertical="top" wrapText="1"/>
    </xf>
    <xf numFmtId="167" fontId="19" fillId="0" borderId="0" xfId="1" applyNumberFormat="1" applyFont="1" applyAlignment="1">
      <alignment horizontal="right"/>
    </xf>
    <xf numFmtId="0" fontId="16" fillId="0" borderId="0" xfId="0" applyFont="1" applyAlignment="1">
      <alignment horizontal="left" vertical="top" wrapText="1"/>
    </xf>
    <xf numFmtId="0" fontId="16" fillId="0" borderId="0" xfId="0" applyFont="1" applyAlignment="1">
      <alignment horizontal="center" vertical="center"/>
    </xf>
    <xf numFmtId="0" fontId="16" fillId="0" borderId="0" xfId="0" applyFont="1" applyAlignment="1">
      <alignment horizontal="center" vertical="center" wrapText="1"/>
    </xf>
    <xf numFmtId="0" fontId="4" fillId="3" borderId="1" xfId="0" applyFont="1" applyFill="1" applyBorder="1" applyAlignment="1">
      <alignment horizontal="left" vertical="top" wrapText="1"/>
    </xf>
    <xf numFmtId="0" fontId="26" fillId="0" borderId="0" xfId="0" applyFont="1" applyAlignment="1">
      <alignment horizontal="left" vertical="top" wrapText="1"/>
    </xf>
    <xf numFmtId="169" fontId="15" fillId="0" borderId="0" xfId="0" applyNumberFormat="1" applyFont="1" applyAlignment="1">
      <alignment horizontal="left" vertical="top"/>
    </xf>
    <xf numFmtId="0" fontId="15" fillId="0" borderId="0" xfId="0" applyFont="1" applyAlignment="1">
      <alignment horizontal="left" vertical="top"/>
    </xf>
    <xf numFmtId="3" fontId="4" fillId="0" borderId="5" xfId="0" applyNumberFormat="1" applyFont="1" applyBorder="1" applyAlignment="1">
      <alignment horizontal="left" vertical="top"/>
    </xf>
    <xf numFmtId="0" fontId="1" fillId="0" borderId="7" xfId="0" applyFont="1" applyBorder="1" applyAlignment="1">
      <alignment horizontal="left" vertical="top" wrapText="1"/>
    </xf>
    <xf numFmtId="0" fontId="1" fillId="0" borderId="5" xfId="0" applyFont="1" applyBorder="1" applyAlignment="1">
      <alignment horizontal="left" vertical="top" wrapText="1"/>
    </xf>
    <xf numFmtId="0" fontId="1" fillId="0" borderId="5" xfId="0" applyFont="1" applyBorder="1" applyAlignment="1">
      <alignment horizontal="left" vertical="center" wrapText="1"/>
    </xf>
    <xf numFmtId="0" fontId="1" fillId="0" borderId="0" xfId="0" applyFont="1"/>
    <xf numFmtId="0" fontId="1" fillId="9" borderId="13" xfId="0" applyFont="1" applyFill="1" applyBorder="1" applyAlignment="1">
      <alignment horizontal="left" vertical="top"/>
    </xf>
    <xf numFmtId="0" fontId="1" fillId="9" borderId="0" xfId="0" applyFont="1" applyFill="1" applyAlignment="1">
      <alignment horizontal="center" vertical="top"/>
    </xf>
    <xf numFmtId="0" fontId="1" fillId="9" borderId="0" xfId="0" applyFont="1" applyFill="1" applyAlignment="1">
      <alignment vertical="center"/>
    </xf>
    <xf numFmtId="167" fontId="1" fillId="9" borderId="0" xfId="0" applyNumberFormat="1" applyFont="1" applyFill="1" applyAlignment="1">
      <alignment vertical="center"/>
    </xf>
    <xf numFmtId="0" fontId="1" fillId="0" borderId="7" xfId="0" applyFont="1" applyBorder="1" applyAlignment="1">
      <alignment horizontal="center" vertical="top"/>
    </xf>
    <xf numFmtId="0" fontId="1" fillId="7" borderId="5" xfId="0" applyFont="1" applyFill="1" applyBorder="1" applyAlignment="1">
      <alignment vertical="center" wrapText="1"/>
    </xf>
    <xf numFmtId="0" fontId="1" fillId="7" borderId="5" xfId="0" applyFont="1" applyFill="1" applyBorder="1" applyAlignment="1">
      <alignment horizontal="left" vertical="center" wrapText="1"/>
    </xf>
    <xf numFmtId="0" fontId="1" fillId="7" borderId="0" xfId="0" applyFont="1" applyFill="1"/>
    <xf numFmtId="0" fontId="1" fillId="0" borderId="25" xfId="0" applyFont="1" applyBorder="1" applyAlignment="1">
      <alignment horizontal="center" vertical="top"/>
    </xf>
    <xf numFmtId="0" fontId="1" fillId="0" borderId="6" xfId="0" applyFont="1" applyBorder="1" applyAlignment="1">
      <alignment horizontal="center" vertical="top"/>
    </xf>
    <xf numFmtId="0" fontId="1" fillId="7" borderId="7" xfId="0" applyFont="1" applyFill="1" applyBorder="1" applyAlignment="1">
      <alignment vertical="center" wrapText="1"/>
    </xf>
    <xf numFmtId="0" fontId="1" fillId="7" borderId="18" xfId="0" applyFont="1" applyFill="1" applyBorder="1" applyAlignment="1">
      <alignment horizontal="left" vertical="center" wrapText="1"/>
    </xf>
    <xf numFmtId="0" fontId="1" fillId="7" borderId="6" xfId="0" applyFont="1" applyFill="1" applyBorder="1" applyAlignment="1">
      <alignment vertical="center" wrapText="1"/>
    </xf>
    <xf numFmtId="0" fontId="1" fillId="7" borderId="20" xfId="0" applyFont="1" applyFill="1" applyBorder="1" applyAlignment="1">
      <alignment vertical="center" wrapText="1"/>
    </xf>
    <xf numFmtId="0" fontId="1" fillId="7" borderId="14" xfId="0" applyFont="1" applyFill="1" applyBorder="1" applyAlignment="1">
      <alignment horizontal="left" vertical="center" wrapText="1"/>
    </xf>
    <xf numFmtId="0" fontId="1" fillId="9" borderId="0" xfId="0" applyFont="1" applyFill="1" applyAlignment="1">
      <alignment vertical="top"/>
    </xf>
    <xf numFmtId="167" fontId="1" fillId="9" borderId="0" xfId="0" applyNumberFormat="1" applyFont="1" applyFill="1" applyAlignment="1">
      <alignment vertical="top"/>
    </xf>
    <xf numFmtId="0" fontId="1" fillId="9" borderId="25" xfId="0" applyFont="1" applyFill="1" applyBorder="1" applyAlignment="1">
      <alignment vertical="center"/>
    </xf>
    <xf numFmtId="0" fontId="1" fillId="9" borderId="5" xfId="0" applyFont="1" applyFill="1" applyBorder="1" applyAlignment="1">
      <alignment vertical="center"/>
    </xf>
    <xf numFmtId="0" fontId="1" fillId="9" borderId="0" xfId="0" applyFont="1" applyFill="1" applyAlignment="1">
      <alignment horizontal="left" vertical="top"/>
    </xf>
    <xf numFmtId="0" fontId="1" fillId="0" borderId="0" xfId="0" applyFont="1" applyAlignment="1">
      <alignment horizontal="left" vertical="top"/>
    </xf>
    <xf numFmtId="0" fontId="1" fillId="0" borderId="0" xfId="0" applyFont="1" applyAlignment="1">
      <alignment vertical="center"/>
    </xf>
    <xf numFmtId="0" fontId="1" fillId="9" borderId="0" xfId="0" applyFont="1" applyFill="1"/>
    <xf numFmtId="3" fontId="1" fillId="0" borderId="5" xfId="0" applyNumberFormat="1" applyFont="1" applyBorder="1" applyAlignment="1">
      <alignment horizontal="left" vertical="center" wrapText="1"/>
    </xf>
    <xf numFmtId="164" fontId="1" fillId="0" borderId="5" xfId="0" applyNumberFormat="1" applyFont="1" applyBorder="1" applyAlignment="1">
      <alignment horizontal="left" vertical="center" wrapText="1"/>
    </xf>
    <xf numFmtId="0" fontId="1" fillId="0" borderId="0" xfId="0" applyFont="1" applyAlignment="1">
      <alignment horizontal="center" vertical="top"/>
    </xf>
    <xf numFmtId="0" fontId="1" fillId="0" borderId="0" xfId="0" applyFont="1" applyAlignment="1">
      <alignment horizontal="center" vertical="center"/>
    </xf>
    <xf numFmtId="167" fontId="1" fillId="0" borderId="0" xfId="0" applyNumberFormat="1" applyFont="1" applyAlignment="1">
      <alignment horizontal="center" vertical="center"/>
    </xf>
    <xf numFmtId="0" fontId="1" fillId="0" borderId="0" xfId="0" applyFont="1" applyAlignment="1">
      <alignment horizontal="left" vertical="center" wrapText="1"/>
    </xf>
    <xf numFmtId="168" fontId="1" fillId="3" borderId="0" xfId="0" applyNumberFormat="1" applyFont="1" applyFill="1" applyAlignment="1">
      <alignment horizontal="right" vertical="top"/>
    </xf>
    <xf numFmtId="166" fontId="1" fillId="0" borderId="5" xfId="0" applyNumberFormat="1" applyFont="1" applyBorder="1" applyAlignment="1">
      <alignment horizontal="left" wrapText="1"/>
    </xf>
    <xf numFmtId="166" fontId="1" fillId="9" borderId="0" xfId="0" applyNumberFormat="1" applyFont="1" applyFill="1" applyAlignment="1">
      <alignment horizontal="left" vertical="center"/>
    </xf>
    <xf numFmtId="166" fontId="1" fillId="7" borderId="5" xfId="0" applyNumberFormat="1" applyFont="1" applyFill="1" applyBorder="1" applyAlignment="1">
      <alignment horizontal="left"/>
    </xf>
    <xf numFmtId="166" fontId="1" fillId="9" borderId="0" xfId="0" applyNumberFormat="1" applyFont="1" applyFill="1" applyAlignment="1">
      <alignment horizontal="left" vertical="top"/>
    </xf>
    <xf numFmtId="166" fontId="0" fillId="7" borderId="5" xfId="0" applyNumberFormat="1" applyFill="1" applyBorder="1" applyAlignment="1">
      <alignment horizontal="left"/>
    </xf>
    <xf numFmtId="164" fontId="0" fillId="0" borderId="5" xfId="0" applyNumberFormat="1" applyBorder="1" applyAlignment="1">
      <alignment horizontal="left"/>
    </xf>
    <xf numFmtId="166" fontId="1" fillId="0" borderId="0" xfId="0" applyNumberFormat="1" applyFont="1" applyAlignment="1">
      <alignment horizontal="left"/>
    </xf>
    <xf numFmtId="166" fontId="2" fillId="0" borderId="0" xfId="0" applyNumberFormat="1" applyFont="1" applyAlignment="1">
      <alignment horizontal="left"/>
    </xf>
    <xf numFmtId="167" fontId="20" fillId="2" borderId="16" xfId="1" applyNumberFormat="1" applyFont="1" applyFill="1" applyBorder="1" applyAlignment="1">
      <alignment horizontal="center" vertical="center" wrapText="1"/>
    </xf>
    <xf numFmtId="168" fontId="0" fillId="0" borderId="14" xfId="0" applyNumberFormat="1" applyBorder="1" applyAlignment="1">
      <alignment horizontal="right"/>
    </xf>
    <xf numFmtId="168" fontId="1" fillId="3" borderId="14" xfId="0" applyNumberFormat="1" applyFont="1" applyFill="1" applyBorder="1" applyAlignment="1">
      <alignment horizontal="right" vertical="top"/>
    </xf>
    <xf numFmtId="168" fontId="8" fillId="0" borderId="14" xfId="0" applyNumberFormat="1" applyFont="1" applyBorder="1" applyAlignment="1">
      <alignment horizontal="right" vertical="top"/>
    </xf>
    <xf numFmtId="167" fontId="4" fillId="4" borderId="16" xfId="1" applyNumberFormat="1" applyFill="1" applyBorder="1" applyAlignment="1">
      <alignment horizontal="right" vertical="top" wrapText="1"/>
    </xf>
    <xf numFmtId="0" fontId="4" fillId="4" borderId="5" xfId="1" applyFill="1" applyBorder="1" applyAlignment="1">
      <alignment horizontal="left" vertical="top" wrapText="1"/>
    </xf>
    <xf numFmtId="0" fontId="20" fillId="6" borderId="18" xfId="1" applyFont="1" applyFill="1" applyBorder="1" applyAlignment="1">
      <alignment horizontal="left" vertical="top" wrapText="1"/>
    </xf>
    <xf numFmtId="0" fontId="28" fillId="0" borderId="5" xfId="1" applyFont="1" applyBorder="1" applyAlignment="1">
      <alignment vertical="top"/>
    </xf>
    <xf numFmtId="3" fontId="27" fillId="0" borderId="0" xfId="0" applyNumberFormat="1" applyFont="1" applyAlignment="1">
      <alignment horizontal="left"/>
    </xf>
    <xf numFmtId="167" fontId="19" fillId="0" borderId="0" xfId="1" applyNumberFormat="1" applyFont="1" applyAlignment="1">
      <alignment horizontal="left"/>
    </xf>
    <xf numFmtId="3" fontId="4" fillId="4" borderId="5" xfId="0" applyNumberFormat="1" applyFont="1" applyFill="1" applyBorder="1" applyAlignment="1">
      <alignment horizontal="left" vertical="top"/>
    </xf>
    <xf numFmtId="0" fontId="0" fillId="4" borderId="0" xfId="0" applyFill="1"/>
    <xf numFmtId="0" fontId="0" fillId="4" borderId="5" xfId="0" quotePrefix="1" applyFill="1" applyBorder="1"/>
    <xf numFmtId="1" fontId="4" fillId="5" borderId="1" xfId="1" applyNumberFormat="1" applyFill="1" applyBorder="1" applyAlignment="1">
      <alignment horizontal="left" vertical="top" wrapText="1"/>
    </xf>
    <xf numFmtId="0" fontId="15" fillId="7" borderId="0" xfId="0" applyFont="1" applyFill="1"/>
    <xf numFmtId="0" fontId="29" fillId="19" borderId="5" xfId="0" applyFont="1" applyFill="1" applyBorder="1" applyAlignment="1">
      <alignment horizontal="center" vertical="center" wrapText="1"/>
    </xf>
    <xf numFmtId="1" fontId="4" fillId="4" borderId="1" xfId="1" applyNumberFormat="1" applyFill="1" applyBorder="1" applyAlignment="1">
      <alignment horizontal="left" vertical="top" wrapText="1"/>
    </xf>
    <xf numFmtId="0" fontId="5" fillId="8" borderId="5" xfId="0" applyFont="1" applyFill="1" applyBorder="1" applyAlignment="1">
      <alignment horizontal="left" vertical="top" wrapText="1"/>
    </xf>
    <xf numFmtId="0" fontId="5" fillId="8" borderId="5" xfId="0" applyFont="1" applyFill="1" applyBorder="1" applyAlignment="1">
      <alignment horizontal="center" vertical="top" wrapText="1"/>
    </xf>
    <xf numFmtId="0" fontId="5" fillId="8" borderId="5" xfId="0" applyFont="1" applyFill="1" applyBorder="1" applyAlignment="1">
      <alignment horizontal="center" vertical="center" wrapText="1"/>
    </xf>
    <xf numFmtId="167" fontId="5" fillId="8" borderId="5" xfId="0" applyNumberFormat="1" applyFont="1" applyFill="1" applyBorder="1" applyAlignment="1">
      <alignment horizontal="center" vertical="center" wrapText="1"/>
    </xf>
    <xf numFmtId="0" fontId="5" fillId="8" borderId="5" xfId="0" applyFont="1" applyFill="1" applyBorder="1" applyAlignment="1">
      <alignment horizontal="left" vertical="center" wrapText="1"/>
    </xf>
    <xf numFmtId="166" fontId="5" fillId="8" borderId="5" xfId="0" applyNumberFormat="1" applyFont="1" applyFill="1" applyBorder="1" applyAlignment="1">
      <alignment horizontal="left" vertical="center" wrapText="1"/>
    </xf>
    <xf numFmtId="0" fontId="5" fillId="0" borderId="0" xfId="0" applyFont="1"/>
    <xf numFmtId="0" fontId="5" fillId="9" borderId="25" xfId="0" applyFont="1" applyFill="1" applyBorder="1" applyAlignment="1">
      <alignment vertical="center"/>
    </xf>
    <xf numFmtId="0" fontId="5" fillId="9" borderId="25" xfId="0" applyFont="1" applyFill="1" applyBorder="1" applyAlignment="1">
      <alignment vertical="top"/>
    </xf>
    <xf numFmtId="0" fontId="10" fillId="0" borderId="20" xfId="0" applyFont="1" applyBorder="1" applyAlignment="1">
      <alignment horizontal="left" vertical="center" wrapText="1"/>
    </xf>
    <xf numFmtId="0" fontId="8" fillId="0" borderId="5" xfId="0" applyFont="1" applyBorder="1" applyAlignment="1">
      <alignment wrapText="1"/>
    </xf>
    <xf numFmtId="0" fontId="10" fillId="0" borderId="23" xfId="0" applyFont="1" applyBorder="1" applyAlignment="1">
      <alignment horizontal="left" vertical="center" wrapText="1"/>
    </xf>
    <xf numFmtId="0" fontId="10" fillId="0" borderId="5" xfId="0" applyFont="1" applyBorder="1" applyAlignment="1">
      <alignment horizontal="left" vertical="center" wrapText="1"/>
    </xf>
    <xf numFmtId="0" fontId="10" fillId="0" borderId="24" xfId="0" applyFont="1" applyBorder="1" applyAlignment="1">
      <alignment horizontal="left" vertical="center" wrapText="1"/>
    </xf>
    <xf numFmtId="0" fontId="10" fillId="0" borderId="20" xfId="0" applyFont="1" applyBorder="1" applyAlignment="1">
      <alignment horizontal="left" vertical="center"/>
    </xf>
    <xf numFmtId="0" fontId="8" fillId="7" borderId="5" xfId="0" applyFont="1" applyFill="1" applyBorder="1" applyAlignment="1">
      <alignment horizontal="left" vertical="center" wrapText="1"/>
    </xf>
    <xf numFmtId="166" fontId="8" fillId="0" borderId="5" xfId="0" applyNumberFormat="1" applyFont="1" applyBorder="1" applyAlignment="1">
      <alignment horizontal="left" wrapText="1"/>
    </xf>
    <xf numFmtId="0" fontId="5" fillId="9" borderId="0" xfId="0" applyFont="1" applyFill="1" applyAlignment="1">
      <alignment vertical="center"/>
    </xf>
    <xf numFmtId="0" fontId="4" fillId="0" borderId="5" xfId="0" applyFont="1" applyBorder="1" applyAlignment="1">
      <alignment horizontal="left" vertical="top" wrapText="1"/>
    </xf>
    <xf numFmtId="0" fontId="5" fillId="7" borderId="0" xfId="0" applyFont="1" applyFill="1" applyAlignment="1">
      <alignment vertical="center"/>
    </xf>
    <xf numFmtId="0" fontId="5" fillId="0" borderId="0" xfId="0" applyFont="1" applyAlignment="1">
      <alignment vertical="center"/>
    </xf>
    <xf numFmtId="0" fontId="4" fillId="9" borderId="5" xfId="0" applyFont="1" applyFill="1" applyBorder="1" applyAlignment="1">
      <alignment horizontal="left" vertical="top" wrapText="1"/>
    </xf>
    <xf numFmtId="3" fontId="4" fillId="9" borderId="5" xfId="0" applyNumberFormat="1" applyFont="1" applyFill="1" applyBorder="1" applyAlignment="1">
      <alignment horizontal="left" vertical="top"/>
    </xf>
    <xf numFmtId="0" fontId="7" fillId="0" borderId="0" xfId="0" applyFont="1" applyAlignment="1">
      <alignment wrapText="1"/>
    </xf>
    <xf numFmtId="0" fontId="4" fillId="3" borderId="18" xfId="1" applyFill="1" applyBorder="1" applyAlignment="1">
      <alignment horizontal="left" vertical="top" wrapText="1"/>
    </xf>
    <xf numFmtId="167" fontId="4" fillId="3" borderId="16" xfId="1" applyNumberFormat="1" applyFill="1" applyBorder="1" applyAlignment="1">
      <alignment horizontal="right" vertical="top" wrapText="1"/>
    </xf>
    <xf numFmtId="9" fontId="4" fillId="3" borderId="1" xfId="1" applyNumberFormat="1" applyFill="1" applyBorder="1" applyAlignment="1">
      <alignment horizontal="left" vertical="top" wrapText="1"/>
    </xf>
    <xf numFmtId="167" fontId="4" fillId="3" borderId="1" xfId="1" applyNumberFormat="1" applyFill="1" applyBorder="1" applyAlignment="1">
      <alignment horizontal="left" vertical="top" wrapText="1"/>
    </xf>
    <xf numFmtId="1" fontId="4" fillId="3" borderId="5" xfId="1" applyNumberFormat="1" applyFill="1" applyBorder="1" applyAlignment="1">
      <alignment horizontal="left" vertical="top" wrapText="1"/>
    </xf>
    <xf numFmtId="167" fontId="4" fillId="3" borderId="1" xfId="1" applyNumberFormat="1" applyFill="1" applyBorder="1" applyAlignment="1">
      <alignment horizontal="right" vertical="top" wrapText="1"/>
    </xf>
    <xf numFmtId="0" fontId="4" fillId="3" borderId="1" xfId="1" applyFill="1" applyBorder="1"/>
    <xf numFmtId="167" fontId="4" fillId="3" borderId="19" xfId="1" applyNumberFormat="1" applyFill="1" applyBorder="1" applyAlignment="1">
      <alignment horizontal="right" vertical="top" wrapText="1"/>
    </xf>
    <xf numFmtId="1" fontId="4" fillId="3" borderId="5" xfId="1" quotePrefix="1" applyNumberFormat="1" applyFill="1" applyBorder="1" applyAlignment="1">
      <alignment horizontal="left" vertical="top" wrapText="1"/>
    </xf>
    <xf numFmtId="0" fontId="4" fillId="3" borderId="16" xfId="1" applyFill="1" applyBorder="1" applyAlignment="1">
      <alignment horizontal="left" vertical="top" wrapText="1"/>
    </xf>
    <xf numFmtId="1" fontId="4" fillId="3" borderId="1" xfId="1" applyNumberFormat="1" applyFill="1" applyBorder="1" applyAlignment="1">
      <alignment horizontal="left" vertical="top" wrapText="1"/>
    </xf>
    <xf numFmtId="0" fontId="4" fillId="4" borderId="18" xfId="1" applyFill="1" applyBorder="1" applyAlignment="1">
      <alignment horizontal="left" vertical="top" wrapText="1"/>
    </xf>
    <xf numFmtId="9" fontId="4" fillId="4" borderId="1" xfId="1" applyNumberFormat="1" applyFill="1" applyBorder="1" applyAlignment="1">
      <alignment horizontal="left" vertical="top" wrapText="1"/>
    </xf>
    <xf numFmtId="167" fontId="4" fillId="4" borderId="1" xfId="1" applyNumberFormat="1" applyFill="1" applyBorder="1" applyAlignment="1">
      <alignment horizontal="left" vertical="top" wrapText="1"/>
    </xf>
    <xf numFmtId="0" fontId="4" fillId="4" borderId="1" xfId="1" applyFill="1" applyBorder="1"/>
    <xf numFmtId="0" fontId="4" fillId="4" borderId="1" xfId="0" applyFont="1" applyFill="1" applyBorder="1" applyAlignment="1">
      <alignment horizontal="left" vertical="top" wrapText="1"/>
    </xf>
    <xf numFmtId="1" fontId="4" fillId="4" borderId="1" xfId="1" quotePrefix="1" applyNumberFormat="1" applyFill="1" applyBorder="1" applyAlignment="1">
      <alignment horizontal="left" vertical="top" wrapText="1"/>
    </xf>
    <xf numFmtId="168" fontId="4" fillId="4" borderId="0" xfId="0" applyNumberFormat="1" applyFont="1" applyFill="1" applyAlignment="1">
      <alignment horizontal="right" vertical="top"/>
    </xf>
    <xf numFmtId="0" fontId="4" fillId="5" borderId="18" xfId="1" applyFill="1" applyBorder="1" applyAlignment="1">
      <alignment horizontal="left" vertical="top" wrapText="1"/>
    </xf>
    <xf numFmtId="167" fontId="4" fillId="5" borderId="16" xfId="1" applyNumberFormat="1" applyFill="1" applyBorder="1" applyAlignment="1">
      <alignment horizontal="right" vertical="top" wrapText="1"/>
    </xf>
    <xf numFmtId="9" fontId="4" fillId="5" borderId="1" xfId="1" applyNumberFormat="1" applyFill="1" applyBorder="1" applyAlignment="1">
      <alignment horizontal="left" vertical="top" wrapText="1"/>
    </xf>
    <xf numFmtId="167" fontId="4" fillId="5" borderId="1" xfId="1" applyNumberFormat="1" applyFill="1" applyBorder="1" applyAlignment="1">
      <alignment horizontal="left" vertical="top" wrapText="1"/>
    </xf>
    <xf numFmtId="0" fontId="4" fillId="5" borderId="1" xfId="1" applyFill="1" applyBorder="1"/>
    <xf numFmtId="168" fontId="4" fillId="5" borderId="0" xfId="0" applyNumberFormat="1" applyFont="1" applyFill="1" applyAlignment="1">
      <alignment horizontal="right" vertical="top"/>
    </xf>
    <xf numFmtId="0" fontId="4" fillId="5" borderId="1" xfId="0" applyFont="1" applyFill="1" applyBorder="1" applyAlignment="1">
      <alignment horizontal="left" vertical="top" wrapText="1"/>
    </xf>
    <xf numFmtId="1" fontId="4" fillId="5" borderId="1" xfId="1" quotePrefix="1" applyNumberFormat="1" applyFill="1" applyBorder="1" applyAlignment="1">
      <alignment horizontal="left" vertical="top" wrapText="1"/>
    </xf>
    <xf numFmtId="0" fontId="4" fillId="6" borderId="18" xfId="1" applyFill="1" applyBorder="1" applyAlignment="1">
      <alignment horizontal="left" vertical="top" wrapText="1"/>
    </xf>
    <xf numFmtId="9" fontId="4" fillId="6" borderId="1" xfId="1" applyNumberFormat="1" applyFill="1" applyBorder="1" applyAlignment="1">
      <alignment horizontal="left" vertical="top" wrapText="1"/>
    </xf>
    <xf numFmtId="1" fontId="4" fillId="6" borderId="1" xfId="1" applyNumberFormat="1" applyFill="1" applyBorder="1" applyAlignment="1">
      <alignment horizontal="left" vertical="top" wrapText="1"/>
    </xf>
    <xf numFmtId="0" fontId="4" fillId="6" borderId="1" xfId="1" applyFill="1" applyBorder="1"/>
    <xf numFmtId="0" fontId="4" fillId="6" borderId="1" xfId="0" applyFont="1" applyFill="1" applyBorder="1" applyAlignment="1">
      <alignment horizontal="left" vertical="top" wrapText="1"/>
    </xf>
    <xf numFmtId="167" fontId="4" fillId="6" borderId="16" xfId="1" applyNumberFormat="1" applyFill="1" applyBorder="1" applyAlignment="1">
      <alignment horizontal="right" vertical="top" wrapText="1"/>
    </xf>
    <xf numFmtId="167" fontId="4" fillId="6" borderId="1" xfId="1" applyNumberFormat="1" applyFill="1" applyBorder="1" applyAlignment="1">
      <alignment horizontal="left" vertical="top" wrapText="1"/>
    </xf>
    <xf numFmtId="1" fontId="4" fillId="6" borderId="1" xfId="1" quotePrefix="1" applyNumberFormat="1" applyFill="1" applyBorder="1" applyAlignment="1">
      <alignment horizontal="left" vertical="top" wrapText="1"/>
    </xf>
    <xf numFmtId="0" fontId="4" fillId="6" borderId="1" xfId="1" quotePrefix="1" applyFill="1" applyBorder="1" applyAlignment="1">
      <alignment horizontal="left" vertical="top" wrapText="1"/>
    </xf>
    <xf numFmtId="0" fontId="4" fillId="6" borderId="15" xfId="1" applyFill="1" applyBorder="1" applyAlignment="1">
      <alignment horizontal="left" vertical="top" wrapText="1"/>
    </xf>
    <xf numFmtId="0" fontId="4" fillId="6" borderId="5" xfId="1" applyFill="1" applyBorder="1" applyAlignment="1">
      <alignment horizontal="left" vertical="top" wrapText="1"/>
    </xf>
    <xf numFmtId="0" fontId="4" fillId="0" borderId="0" xfId="1" applyAlignment="1">
      <alignment wrapText="1"/>
    </xf>
    <xf numFmtId="0" fontId="4" fillId="0" borderId="0" xfId="1" applyAlignment="1">
      <alignment horizontal="left" vertical="top" wrapText="1"/>
    </xf>
    <xf numFmtId="0" fontId="4" fillId="0" borderId="0" xfId="1" applyAlignment="1">
      <alignment horizontal="center" wrapText="1"/>
    </xf>
    <xf numFmtId="0" fontId="4" fillId="0" borderId="0" xfId="1" applyAlignment="1">
      <alignment horizontal="center"/>
    </xf>
    <xf numFmtId="0" fontId="4" fillId="0" borderId="0" xfId="1"/>
    <xf numFmtId="167" fontId="4" fillId="0" borderId="0" xfId="1" applyNumberFormat="1" applyAlignment="1">
      <alignment horizontal="right"/>
    </xf>
    <xf numFmtId="9" fontId="4" fillId="0" borderId="0" xfId="1" applyNumberFormat="1"/>
    <xf numFmtId="167" fontId="4" fillId="0" borderId="0" xfId="1" applyNumberFormat="1" applyAlignment="1">
      <alignment horizontal="left"/>
    </xf>
    <xf numFmtId="1" fontId="4" fillId="0" borderId="0" xfId="1" applyNumberFormat="1"/>
    <xf numFmtId="0" fontId="4" fillId="0" borderId="0" xfId="1" applyAlignment="1">
      <alignment horizontal="left" wrapText="1"/>
    </xf>
    <xf numFmtId="0" fontId="20" fillId="16" borderId="5" xfId="0" applyFont="1" applyFill="1" applyBorder="1"/>
    <xf numFmtId="0" fontId="20" fillId="16" borderId="5" xfId="0" applyFont="1" applyFill="1" applyBorder="1" applyAlignment="1">
      <alignment wrapText="1"/>
    </xf>
    <xf numFmtId="0" fontId="18" fillId="4" borderId="1" xfId="0" applyFont="1" applyFill="1" applyBorder="1" applyAlignment="1">
      <alignment horizontal="left" vertical="top" wrapText="1"/>
    </xf>
    <xf numFmtId="0" fontId="18" fillId="4" borderId="18" xfId="1" applyFont="1" applyFill="1" applyBorder="1" applyAlignment="1">
      <alignment horizontal="left" vertical="top" wrapText="1"/>
    </xf>
    <xf numFmtId="167" fontId="18" fillId="4" borderId="16" xfId="1" applyNumberFormat="1" applyFont="1" applyFill="1" applyBorder="1" applyAlignment="1">
      <alignment horizontal="right" vertical="top" wrapText="1"/>
    </xf>
    <xf numFmtId="0" fontId="18" fillId="4" borderId="1" xfId="1" applyFont="1" applyFill="1" applyBorder="1" applyAlignment="1">
      <alignment horizontal="left" vertical="top" wrapText="1"/>
    </xf>
    <xf numFmtId="9" fontId="18" fillId="4" borderId="1" xfId="1" applyNumberFormat="1" applyFont="1" applyFill="1" applyBorder="1" applyAlignment="1">
      <alignment horizontal="left" vertical="top" wrapText="1"/>
    </xf>
    <xf numFmtId="167" fontId="18" fillId="4" borderId="1" xfId="1" applyNumberFormat="1" applyFont="1" applyFill="1" applyBorder="1" applyAlignment="1">
      <alignment horizontal="left" vertical="top" wrapText="1"/>
    </xf>
    <xf numFmtId="1" fontId="18" fillId="4" borderId="1" xfId="1" applyNumberFormat="1" applyFont="1" applyFill="1" applyBorder="1" applyAlignment="1">
      <alignment horizontal="left" vertical="top" wrapText="1"/>
    </xf>
    <xf numFmtId="167" fontId="18" fillId="3" borderId="1" xfId="1" applyNumberFormat="1" applyFont="1" applyFill="1" applyBorder="1" applyAlignment="1">
      <alignment horizontal="right" vertical="top" wrapText="1"/>
    </xf>
    <xf numFmtId="0" fontId="18" fillId="4" borderId="1" xfId="1" applyFont="1" applyFill="1" applyBorder="1"/>
    <xf numFmtId="0" fontId="18" fillId="7" borderId="1" xfId="1" applyFont="1" applyFill="1" applyBorder="1"/>
    <xf numFmtId="0" fontId="4" fillId="5" borderId="16" xfId="0" applyFont="1" applyFill="1" applyBorder="1" applyAlignment="1">
      <alignment horizontal="left" vertical="top" wrapText="1"/>
    </xf>
    <xf numFmtId="0" fontId="20" fillId="4" borderId="5" xfId="0" applyFont="1" applyFill="1" applyBorder="1" applyAlignment="1">
      <alignment vertical="top" wrapText="1"/>
    </xf>
    <xf numFmtId="0" fontId="20" fillId="4" borderId="15" xfId="0" applyFont="1" applyFill="1" applyBorder="1" applyAlignment="1">
      <alignment vertical="top" wrapText="1"/>
    </xf>
    <xf numFmtId="0" fontId="20" fillId="4" borderId="35" xfId="0" applyFont="1" applyFill="1" applyBorder="1" applyAlignment="1">
      <alignment vertical="top" wrapText="1"/>
    </xf>
    <xf numFmtId="0" fontId="18" fillId="4" borderId="35" xfId="0" applyFont="1" applyFill="1" applyBorder="1" applyAlignment="1">
      <alignment vertical="top" wrapText="1"/>
    </xf>
    <xf numFmtId="0" fontId="20" fillId="4" borderId="31" xfId="0" applyFont="1" applyFill="1" applyBorder="1" applyAlignment="1">
      <alignment vertical="top" wrapText="1"/>
    </xf>
    <xf numFmtId="0" fontId="4" fillId="4" borderId="16" xfId="1" applyFill="1" applyBorder="1" applyAlignment="1">
      <alignment horizontal="left" vertical="top" wrapText="1"/>
    </xf>
    <xf numFmtId="0" fontId="4" fillId="4" borderId="16" xfId="0" applyFont="1" applyFill="1" applyBorder="1" applyAlignment="1">
      <alignment horizontal="left" vertical="top" wrapText="1"/>
    </xf>
    <xf numFmtId="0" fontId="18" fillId="4" borderId="16" xfId="0" applyFont="1" applyFill="1" applyBorder="1" applyAlignment="1">
      <alignment horizontal="left" vertical="top" wrapText="1"/>
    </xf>
    <xf numFmtId="0" fontId="4" fillId="5" borderId="16" xfId="1" applyFill="1" applyBorder="1" applyAlignment="1">
      <alignment horizontal="left" vertical="top" wrapText="1"/>
    </xf>
    <xf numFmtId="0" fontId="18" fillId="3" borderId="0" xfId="0" applyFont="1" applyFill="1" applyAlignment="1">
      <alignment horizontal="left" vertical="top"/>
    </xf>
    <xf numFmtId="0" fontId="20" fillId="0" borderId="0" xfId="1" applyFont="1" applyAlignment="1">
      <alignment wrapText="1"/>
    </xf>
    <xf numFmtId="0" fontId="20" fillId="3" borderId="1" xfId="0" applyFont="1" applyFill="1" applyBorder="1" applyAlignment="1">
      <alignment vertical="top" wrapText="1"/>
    </xf>
    <xf numFmtId="0" fontId="20" fillId="3" borderId="2" xfId="0" applyFont="1" applyFill="1" applyBorder="1" applyAlignment="1">
      <alignment vertical="top" wrapText="1"/>
    </xf>
    <xf numFmtId="0" fontId="20" fillId="5" borderId="5" xfId="0" applyFont="1" applyFill="1" applyBorder="1" applyAlignment="1">
      <alignment vertical="top" wrapText="1"/>
    </xf>
    <xf numFmtId="0" fontId="20" fillId="6" borderId="3" xfId="0" applyFont="1" applyFill="1" applyBorder="1" applyAlignment="1">
      <alignment vertical="top" wrapText="1"/>
    </xf>
    <xf numFmtId="0" fontId="20" fillId="6" borderId="1" xfId="0" applyFont="1" applyFill="1" applyBorder="1" applyAlignment="1">
      <alignment vertical="top" wrapText="1"/>
    </xf>
    <xf numFmtId="0" fontId="4" fillId="7" borderId="1" xfId="1" applyFill="1" applyBorder="1" applyAlignment="1">
      <alignment vertical="center"/>
    </xf>
    <xf numFmtId="0" fontId="4" fillId="7" borderId="1" xfId="1" applyFill="1" applyBorder="1"/>
    <xf numFmtId="165" fontId="7" fillId="0" borderId="5" xfId="0" applyNumberFormat="1" applyFont="1" applyBorder="1" applyAlignment="1">
      <alignment horizontal="left" vertical="top" wrapText="1"/>
    </xf>
    <xf numFmtId="164" fontId="25" fillId="0" borderId="5" xfId="0" applyNumberFormat="1" applyFont="1" applyBorder="1" applyAlignment="1">
      <alignment horizontal="left" vertical="top" wrapText="1"/>
    </xf>
    <xf numFmtId="164" fontId="25" fillId="0" borderId="7" xfId="0" applyNumberFormat="1" applyFont="1" applyBorder="1" applyAlignment="1">
      <alignment horizontal="left" vertical="top" wrapText="1"/>
    </xf>
    <xf numFmtId="164" fontId="25" fillId="0" borderId="5" xfId="0" applyNumberFormat="1" applyFont="1" applyBorder="1" applyAlignment="1">
      <alignment horizontal="left" vertical="center" wrapText="1"/>
    </xf>
    <xf numFmtId="0" fontId="20" fillId="3" borderId="5"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3" borderId="5" xfId="1" applyFill="1" applyBorder="1" applyAlignment="1">
      <alignment horizontal="left" vertical="top" wrapText="1"/>
    </xf>
    <xf numFmtId="169" fontId="4" fillId="0" borderId="5" xfId="0" applyNumberFormat="1" applyFont="1" applyBorder="1" applyAlignment="1">
      <alignment horizontal="left" vertical="top"/>
    </xf>
    <xf numFmtId="0" fontId="4" fillId="0" borderId="5" xfId="0" applyFont="1" applyBorder="1" applyAlignment="1">
      <alignment horizontal="left" vertical="top"/>
    </xf>
    <xf numFmtId="0" fontId="4" fillId="3" borderId="7" xfId="1" applyFill="1" applyBorder="1" applyAlignment="1">
      <alignment horizontal="left" vertical="top" wrapText="1"/>
    </xf>
    <xf numFmtId="169" fontId="4" fillId="0" borderId="7" xfId="0" applyNumberFormat="1" applyFont="1" applyBorder="1" applyAlignment="1">
      <alignment horizontal="left" vertical="top"/>
    </xf>
    <xf numFmtId="0" fontId="4" fillId="0" borderId="7" xfId="0" applyFont="1" applyBorder="1" applyAlignment="1">
      <alignment horizontal="left" vertical="top"/>
    </xf>
    <xf numFmtId="0" fontId="20" fillId="4" borderId="4" xfId="0" applyFont="1" applyFill="1" applyBorder="1" applyAlignment="1">
      <alignment vertical="top" wrapText="1"/>
    </xf>
    <xf numFmtId="0" fontId="4" fillId="4" borderId="31" xfId="1" applyFill="1" applyBorder="1" applyAlignment="1">
      <alignment horizontal="left" vertical="top" wrapText="1"/>
    </xf>
    <xf numFmtId="169" fontId="4" fillId="4" borderId="5" xfId="0" applyNumberFormat="1" applyFont="1" applyFill="1" applyBorder="1" applyAlignment="1">
      <alignment horizontal="left" vertical="top"/>
    </xf>
    <xf numFmtId="0" fontId="4" fillId="4" borderId="5" xfId="0" applyFont="1" applyFill="1" applyBorder="1" applyAlignment="1">
      <alignment horizontal="left" vertical="top" wrapText="1"/>
    </xf>
    <xf numFmtId="0" fontId="4" fillId="4" borderId="18" xfId="0" applyFont="1" applyFill="1" applyBorder="1" applyAlignment="1">
      <alignment horizontal="left" vertical="top" wrapText="1"/>
    </xf>
    <xf numFmtId="0" fontId="4" fillId="4" borderId="5" xfId="0" applyFont="1" applyFill="1" applyBorder="1" applyAlignment="1">
      <alignment horizontal="left" vertical="top"/>
    </xf>
    <xf numFmtId="0" fontId="20" fillId="4" borderId="3" xfId="0" applyFont="1" applyFill="1" applyBorder="1" applyAlignment="1">
      <alignment vertical="top" wrapText="1"/>
    </xf>
    <xf numFmtId="0" fontId="4" fillId="5" borderId="5" xfId="1" applyFill="1" applyBorder="1" applyAlignment="1">
      <alignment horizontal="left" vertical="top" wrapText="1"/>
    </xf>
    <xf numFmtId="169" fontId="4" fillId="5" borderId="5" xfId="0" applyNumberFormat="1" applyFont="1" applyFill="1" applyBorder="1" applyAlignment="1">
      <alignment horizontal="left" vertical="top"/>
    </xf>
    <xf numFmtId="0" fontId="4" fillId="5" borderId="5" xfId="0" applyFont="1" applyFill="1" applyBorder="1" applyAlignment="1">
      <alignment horizontal="left" vertical="top"/>
    </xf>
    <xf numFmtId="0" fontId="4" fillId="5" borderId="18" xfId="0" applyFont="1" applyFill="1" applyBorder="1" applyAlignment="1">
      <alignment horizontal="left" vertical="top" wrapText="1"/>
    </xf>
    <xf numFmtId="0" fontId="4" fillId="5" borderId="26" xfId="0" applyFont="1" applyFill="1" applyBorder="1" applyAlignment="1">
      <alignment horizontal="left" vertical="top" wrapText="1"/>
    </xf>
    <xf numFmtId="0" fontId="4" fillId="6" borderId="6" xfId="0" applyFont="1" applyFill="1" applyBorder="1" applyAlignment="1">
      <alignment horizontal="left" vertical="top"/>
    </xf>
    <xf numFmtId="0" fontId="4" fillId="6" borderId="6" xfId="1" applyFill="1" applyBorder="1" applyAlignment="1">
      <alignment horizontal="left" vertical="top" wrapText="1"/>
    </xf>
    <xf numFmtId="0" fontId="4" fillId="6" borderId="5" xfId="0" applyFont="1" applyFill="1" applyBorder="1" applyAlignment="1">
      <alignment horizontal="left" vertical="top" wrapText="1"/>
    </xf>
    <xf numFmtId="169" fontId="4" fillId="6" borderId="5" xfId="0" applyNumberFormat="1" applyFont="1" applyFill="1" applyBorder="1" applyAlignment="1">
      <alignment horizontal="left" vertical="top"/>
    </xf>
    <xf numFmtId="0" fontId="4" fillId="6" borderId="5" xfId="0" applyFont="1" applyFill="1" applyBorder="1" applyAlignment="1">
      <alignment horizontal="left" vertical="top"/>
    </xf>
    <xf numFmtId="0" fontId="4" fillId="6" borderId="5" xfId="1" quotePrefix="1" applyFill="1" applyBorder="1" applyAlignment="1">
      <alignment horizontal="left" vertical="top" wrapText="1"/>
    </xf>
    <xf numFmtId="0" fontId="20" fillId="2" borderId="5" xfId="1" applyFont="1" applyFill="1" applyBorder="1" applyAlignment="1">
      <alignment horizontal="center" vertical="top" wrapText="1"/>
    </xf>
    <xf numFmtId="16" fontId="4" fillId="0" borderId="5" xfId="0" quotePrefix="1" applyNumberFormat="1" applyFont="1" applyBorder="1" applyAlignment="1">
      <alignment vertical="top"/>
    </xf>
    <xf numFmtId="0" fontId="4" fillId="0" borderId="5" xfId="0" quotePrefix="1" applyFont="1" applyBorder="1" applyAlignment="1">
      <alignment vertical="top"/>
    </xf>
    <xf numFmtId="0" fontId="4" fillId="0" borderId="5" xfId="0" applyFont="1" applyBorder="1" applyAlignment="1">
      <alignment vertical="top"/>
    </xf>
    <xf numFmtId="16" fontId="4" fillId="3" borderId="5" xfId="1" quotePrefix="1" applyNumberFormat="1" applyFill="1" applyBorder="1" applyAlignment="1">
      <alignment horizontal="left" vertical="top" wrapText="1"/>
    </xf>
    <xf numFmtId="16" fontId="4" fillId="3" borderId="5" xfId="1" applyNumberFormat="1" applyFill="1" applyBorder="1" applyAlignment="1">
      <alignment horizontal="left" vertical="top" wrapText="1"/>
    </xf>
    <xf numFmtId="0" fontId="4" fillId="4" borderId="5" xfId="1" quotePrefix="1" applyFill="1" applyBorder="1" applyAlignment="1">
      <alignment horizontal="left" vertical="top" wrapText="1"/>
    </xf>
    <xf numFmtId="0" fontId="18" fillId="4" borderId="5" xfId="1" applyFont="1" applyFill="1" applyBorder="1" applyAlignment="1">
      <alignment horizontal="left" vertical="top" wrapText="1"/>
    </xf>
    <xf numFmtId="0" fontId="4" fillId="5" borderId="5" xfId="0" applyFont="1" applyFill="1" applyBorder="1" applyAlignment="1">
      <alignment vertical="top"/>
    </xf>
    <xf numFmtId="0" fontId="4" fillId="5" borderId="5" xfId="1" quotePrefix="1" applyFill="1" applyBorder="1" applyAlignment="1">
      <alignment horizontal="left" vertical="top" wrapText="1"/>
    </xf>
    <xf numFmtId="16" fontId="4" fillId="6" borderId="5" xfId="1" quotePrefix="1" applyNumberFormat="1" applyFill="1" applyBorder="1" applyAlignment="1">
      <alignment horizontal="left" vertical="top" wrapText="1"/>
    </xf>
    <xf numFmtId="0" fontId="4" fillId="6" borderId="7" xfId="1" quotePrefix="1" applyFill="1" applyBorder="1" applyAlignment="1">
      <alignment horizontal="left" vertical="top" wrapText="1"/>
    </xf>
    <xf numFmtId="0" fontId="4" fillId="6" borderId="5" xfId="0" applyFont="1" applyFill="1" applyBorder="1" applyAlignment="1">
      <alignment vertical="top"/>
    </xf>
    <xf numFmtId="0" fontId="4" fillId="0" borderId="0" xfId="1" applyAlignment="1">
      <alignment vertical="top"/>
    </xf>
    <xf numFmtId="0" fontId="4" fillId="0" borderId="5" xfId="1" applyBorder="1" applyAlignment="1">
      <alignment vertical="top"/>
    </xf>
    <xf numFmtId="0" fontId="20" fillId="20" borderId="35" xfId="0" applyFont="1" applyFill="1" applyBorder="1" applyAlignment="1">
      <alignment vertical="top" wrapText="1"/>
    </xf>
    <xf numFmtId="0" fontId="20" fillId="20" borderId="5" xfId="0" applyFont="1" applyFill="1" applyBorder="1" applyAlignment="1">
      <alignment vertical="top" wrapText="1"/>
    </xf>
    <xf numFmtId="0" fontId="20" fillId="20" borderId="1" xfId="1" applyFont="1" applyFill="1" applyBorder="1" applyAlignment="1">
      <alignment horizontal="left" vertical="top" wrapText="1"/>
    </xf>
    <xf numFmtId="0" fontId="20" fillId="20" borderId="1" xfId="0" applyFont="1" applyFill="1" applyBorder="1" applyAlignment="1">
      <alignment horizontal="left" vertical="top" wrapText="1"/>
    </xf>
    <xf numFmtId="0" fontId="4" fillId="20" borderId="35" xfId="0" applyFont="1" applyFill="1" applyBorder="1" applyAlignment="1">
      <alignment vertical="top" wrapText="1"/>
    </xf>
    <xf numFmtId="0" fontId="4" fillId="20" borderId="5" xfId="0" applyFont="1" applyFill="1" applyBorder="1" applyAlignment="1">
      <alignment vertical="top" wrapText="1"/>
    </xf>
    <xf numFmtId="0" fontId="4" fillId="20" borderId="16" xfId="0" applyFont="1" applyFill="1" applyBorder="1" applyAlignment="1">
      <alignment horizontal="left" vertical="top" wrapText="1"/>
    </xf>
    <xf numFmtId="0" fontId="4" fillId="20" borderId="1" xfId="1" applyFill="1" applyBorder="1" applyAlignment="1">
      <alignment horizontal="left" vertical="top" wrapText="1"/>
    </xf>
    <xf numFmtId="0" fontId="4" fillId="20" borderId="1" xfId="0" applyFont="1" applyFill="1" applyBorder="1" applyAlignment="1">
      <alignment horizontal="left" vertical="top" wrapText="1"/>
    </xf>
    <xf numFmtId="0" fontId="4" fillId="20" borderId="18" xfId="1" applyFill="1" applyBorder="1" applyAlignment="1">
      <alignment horizontal="left" vertical="top" wrapText="1"/>
    </xf>
    <xf numFmtId="0" fontId="4" fillId="20" borderId="5" xfId="1" applyFill="1" applyBorder="1" applyAlignment="1">
      <alignment horizontal="left" vertical="top" wrapText="1"/>
    </xf>
    <xf numFmtId="167" fontId="4" fillId="20" borderId="16" xfId="1" applyNumberFormat="1" applyFill="1" applyBorder="1" applyAlignment="1">
      <alignment horizontal="right" vertical="top" wrapText="1"/>
    </xf>
    <xf numFmtId="9" fontId="4" fillId="20" borderId="1" xfId="1" applyNumberFormat="1" applyFill="1" applyBorder="1" applyAlignment="1">
      <alignment horizontal="left" vertical="top" wrapText="1"/>
    </xf>
    <xf numFmtId="167" fontId="4" fillId="20" borderId="1" xfId="1" applyNumberFormat="1" applyFill="1" applyBorder="1" applyAlignment="1">
      <alignment horizontal="left" vertical="top" wrapText="1"/>
    </xf>
    <xf numFmtId="1" fontId="4" fillId="20" borderId="1" xfId="1" applyNumberFormat="1" applyFill="1" applyBorder="1" applyAlignment="1">
      <alignment horizontal="left" vertical="top" wrapText="1"/>
    </xf>
    <xf numFmtId="167" fontId="4" fillId="20" borderId="1" xfId="1" applyNumberFormat="1" applyFill="1" applyBorder="1" applyAlignment="1">
      <alignment horizontal="right" vertical="top" wrapText="1"/>
    </xf>
    <xf numFmtId="0" fontId="4" fillId="20" borderId="1" xfId="1" applyFill="1" applyBorder="1"/>
    <xf numFmtId="0" fontId="18" fillId="20" borderId="1" xfId="1" applyFont="1" applyFill="1" applyBorder="1" applyAlignment="1">
      <alignment horizontal="left" vertical="top" wrapText="1"/>
    </xf>
    <xf numFmtId="16" fontId="4" fillId="20" borderId="5" xfId="1" applyNumberFormat="1" applyFill="1" applyBorder="1" applyAlignment="1">
      <alignment horizontal="left" vertical="top" wrapText="1"/>
    </xf>
    <xf numFmtId="0" fontId="19" fillId="20" borderId="1" xfId="1" applyFont="1" applyFill="1" applyBorder="1"/>
    <xf numFmtId="0" fontId="4" fillId="0" borderId="1" xfId="1" applyBorder="1" applyAlignment="1">
      <alignment horizontal="left" vertical="top" wrapText="1"/>
    </xf>
    <xf numFmtId="0" fontId="18" fillId="3" borderId="5" xfId="0" applyFont="1" applyFill="1" applyBorder="1" applyAlignment="1">
      <alignment horizontal="left" vertical="top"/>
    </xf>
    <xf numFmtId="0" fontId="0" fillId="6" borderId="0" xfId="0" applyFill="1" applyAlignment="1">
      <alignment horizontal="left" vertical="top"/>
    </xf>
    <xf numFmtId="3" fontId="4" fillId="6" borderId="5" xfId="0" applyNumberFormat="1" applyFont="1" applyFill="1" applyBorder="1" applyAlignment="1">
      <alignment horizontal="left" vertical="top"/>
    </xf>
    <xf numFmtId="0" fontId="1" fillId="0" borderId="5" xfId="0" applyFont="1" applyBorder="1" applyAlignment="1">
      <alignment horizontal="center" vertical="top" wrapText="1"/>
    </xf>
    <xf numFmtId="0" fontId="1" fillId="9" borderId="5" xfId="0" applyFont="1" applyFill="1" applyBorder="1" applyAlignment="1">
      <alignment horizontal="left" vertical="top"/>
    </xf>
    <xf numFmtId="0" fontId="1" fillId="9" borderId="5" xfId="0" applyFont="1" applyFill="1" applyBorder="1" applyAlignment="1">
      <alignment horizontal="center" vertical="top"/>
    </xf>
    <xf numFmtId="167" fontId="1" fillId="9" borderId="5" xfId="0" applyNumberFormat="1" applyFont="1" applyFill="1" applyBorder="1" applyAlignment="1">
      <alignment vertical="center"/>
    </xf>
    <xf numFmtId="166" fontId="1" fillId="9" borderId="5" xfId="0" applyNumberFormat="1" applyFont="1" applyFill="1" applyBorder="1" applyAlignment="1">
      <alignment horizontal="left" vertical="center"/>
    </xf>
    <xf numFmtId="0" fontId="8" fillId="7" borderId="5" xfId="0" applyFont="1" applyFill="1" applyBorder="1" applyAlignment="1">
      <alignment vertical="center" wrapText="1"/>
    </xf>
    <xf numFmtId="0" fontId="8" fillId="0" borderId="5" xfId="0" applyFont="1" applyBorder="1"/>
    <xf numFmtId="166" fontId="1" fillId="0" borderId="5" xfId="0" applyNumberFormat="1" applyFont="1" applyBorder="1" applyAlignment="1">
      <alignment horizontal="left" vertical="top"/>
    </xf>
    <xf numFmtId="166" fontId="1" fillId="0" borderId="5" xfId="0" quotePrefix="1" applyNumberFormat="1" applyFont="1" applyBorder="1" applyAlignment="1">
      <alignment horizontal="left" vertical="top"/>
    </xf>
    <xf numFmtId="0" fontId="1" fillId="0" borderId="5" xfId="0" applyFont="1" applyBorder="1" applyAlignment="1">
      <alignment vertical="top" wrapText="1"/>
    </xf>
    <xf numFmtId="0" fontId="4" fillId="9" borderId="5" xfId="0" applyFont="1" applyFill="1" applyBorder="1" applyAlignment="1">
      <alignment horizontal="center" vertical="top"/>
    </xf>
    <xf numFmtId="0" fontId="4" fillId="9" borderId="5" xfId="0" applyFont="1" applyFill="1" applyBorder="1" applyAlignment="1">
      <alignment horizontal="center" vertical="top" wrapText="1"/>
    </xf>
    <xf numFmtId="167" fontId="4" fillId="9" borderId="5" xfId="0" applyNumberFormat="1" applyFont="1" applyFill="1" applyBorder="1" applyAlignment="1">
      <alignment horizontal="center" vertical="top"/>
    </xf>
    <xf numFmtId="0" fontId="1" fillId="9" borderId="9" xfId="0" applyFont="1" applyFill="1" applyBorder="1" applyAlignment="1">
      <alignment vertical="center"/>
    </xf>
    <xf numFmtId="0" fontId="1" fillId="9" borderId="14" xfId="0" applyFont="1" applyFill="1" applyBorder="1" applyAlignment="1">
      <alignment vertical="center"/>
    </xf>
    <xf numFmtId="0" fontId="10" fillId="0" borderId="23" xfId="0" applyFont="1" applyBorder="1" applyAlignment="1">
      <alignment horizontal="left" vertical="center"/>
    </xf>
    <xf numFmtId="0" fontId="1" fillId="7" borderId="8" xfId="0" applyFont="1" applyFill="1" applyBorder="1" applyAlignment="1">
      <alignment horizontal="left" vertical="center" wrapText="1"/>
    </xf>
    <xf numFmtId="166" fontId="1" fillId="7" borderId="7" xfId="0" applyNumberFormat="1" applyFont="1" applyFill="1" applyBorder="1" applyAlignment="1">
      <alignment horizontal="left"/>
    </xf>
    <xf numFmtId="0" fontId="4" fillId="0" borderId="0" xfId="0" applyFont="1"/>
    <xf numFmtId="0" fontId="20" fillId="0" borderId="5" xfId="0" applyFont="1" applyBorder="1"/>
    <xf numFmtId="0" fontId="20" fillId="0" borderId="5" xfId="0" applyFont="1" applyBorder="1" applyAlignment="1">
      <alignment horizontal="left" vertical="center"/>
    </xf>
    <xf numFmtId="0" fontId="4" fillId="11" borderId="5" xfId="0" applyFont="1" applyFill="1" applyBorder="1"/>
    <xf numFmtId="9" fontId="4" fillId="11" borderId="5" xfId="0" applyNumberFormat="1" applyFont="1" applyFill="1" applyBorder="1" applyAlignment="1">
      <alignment horizontal="left" vertical="center"/>
    </xf>
    <xf numFmtId="0" fontId="4" fillId="13" borderId="5" xfId="0" applyFont="1" applyFill="1" applyBorder="1"/>
    <xf numFmtId="9" fontId="4" fillId="13" borderId="5" xfId="0" applyNumberFormat="1" applyFont="1" applyFill="1" applyBorder="1" applyAlignment="1">
      <alignment horizontal="left" vertical="center"/>
    </xf>
    <xf numFmtId="0" fontId="4" fillId="14" borderId="5" xfId="0" applyFont="1" applyFill="1" applyBorder="1"/>
    <xf numFmtId="9" fontId="4" fillId="14" borderId="5" xfId="0" applyNumberFormat="1" applyFont="1" applyFill="1" applyBorder="1" applyAlignment="1">
      <alignment horizontal="left" vertical="center"/>
    </xf>
    <xf numFmtId="0" fontId="4" fillId="12" borderId="5" xfId="0" applyFont="1" applyFill="1" applyBorder="1"/>
    <xf numFmtId="9" fontId="4" fillId="12" borderId="5" xfId="0" applyNumberFormat="1" applyFont="1" applyFill="1" applyBorder="1" applyAlignment="1">
      <alignment horizontal="left" vertical="center"/>
    </xf>
    <xf numFmtId="0" fontId="4" fillId="8" borderId="5" xfId="0" applyFont="1" applyFill="1" applyBorder="1"/>
    <xf numFmtId="9" fontId="4" fillId="8" borderId="5" xfId="0" applyNumberFormat="1" applyFont="1" applyFill="1" applyBorder="1" applyAlignment="1">
      <alignment horizontal="left" vertical="center"/>
    </xf>
    <xf numFmtId="0" fontId="20" fillId="0" borderId="5" xfId="0" applyFont="1" applyBorder="1" applyAlignment="1">
      <alignment horizontal="left"/>
    </xf>
    <xf numFmtId="2" fontId="4" fillId="11" borderId="5" xfId="0" applyNumberFormat="1" applyFont="1" applyFill="1" applyBorder="1" applyAlignment="1">
      <alignment horizontal="left"/>
    </xf>
    <xf numFmtId="2" fontId="4" fillId="13" borderId="5" xfId="0" applyNumberFormat="1" applyFont="1" applyFill="1" applyBorder="1" applyAlignment="1">
      <alignment horizontal="left"/>
    </xf>
    <xf numFmtId="2" fontId="4" fillId="14" borderId="5" xfId="0" applyNumberFormat="1" applyFont="1" applyFill="1" applyBorder="1" applyAlignment="1">
      <alignment horizontal="left"/>
    </xf>
    <xf numFmtId="2" fontId="4" fillId="12" borderId="5" xfId="0" applyNumberFormat="1" applyFont="1" applyFill="1" applyBorder="1" applyAlignment="1">
      <alignment horizontal="left"/>
    </xf>
    <xf numFmtId="2" fontId="4" fillId="8" borderId="5" xfId="0" applyNumberFormat="1" applyFont="1" applyFill="1" applyBorder="1" applyAlignment="1">
      <alignment horizontal="left"/>
    </xf>
    <xf numFmtId="0" fontId="0" fillId="7" borderId="0" xfId="0" applyFill="1" applyAlignment="1">
      <alignment vertical="center" wrapText="1"/>
    </xf>
    <xf numFmtId="0" fontId="5" fillId="7" borderId="0" xfId="0" applyFont="1" applyFill="1"/>
    <xf numFmtId="0" fontId="5" fillId="7" borderId="0" xfId="0" applyFont="1" applyFill="1" applyAlignment="1">
      <alignment horizontal="left" vertical="center"/>
    </xf>
    <xf numFmtId="0" fontId="7" fillId="7" borderId="0" xfId="0" applyFont="1" applyFill="1" applyAlignment="1">
      <alignment wrapText="1"/>
    </xf>
    <xf numFmtId="9" fontId="0" fillId="7" borderId="0" xfId="0" applyNumberFormat="1" applyFill="1" applyAlignment="1">
      <alignment horizontal="left" vertical="center"/>
    </xf>
    <xf numFmtId="0" fontId="5" fillId="7" borderId="0" xfId="0" applyFont="1" applyFill="1" applyAlignment="1">
      <alignment horizontal="left"/>
    </xf>
    <xf numFmtId="2" fontId="0" fillId="7" borderId="0" xfId="0" applyNumberFormat="1" applyFill="1" applyAlignment="1">
      <alignment horizontal="left"/>
    </xf>
    <xf numFmtId="0" fontId="31" fillId="0" borderId="5" xfId="0" applyFont="1" applyBorder="1" applyAlignment="1">
      <alignment wrapText="1"/>
    </xf>
    <xf numFmtId="0" fontId="30" fillId="11" borderId="5" xfId="0" applyFont="1" applyFill="1" applyBorder="1" applyAlignment="1">
      <alignment wrapText="1"/>
    </xf>
    <xf numFmtId="0" fontId="5" fillId="7" borderId="0" xfId="0" applyFont="1" applyFill="1" applyAlignment="1">
      <alignment wrapText="1"/>
    </xf>
    <xf numFmtId="0" fontId="0" fillId="7" borderId="0" xfId="0" applyFill="1" applyAlignment="1">
      <alignment wrapText="1"/>
    </xf>
    <xf numFmtId="0" fontId="32" fillId="0" borderId="0" xfId="0" applyFont="1" applyAlignment="1">
      <alignment wrapText="1"/>
    </xf>
    <xf numFmtId="0" fontId="34" fillId="0" borderId="5" xfId="0" applyFont="1" applyBorder="1" applyAlignment="1">
      <alignment vertical="center" wrapText="1"/>
    </xf>
    <xf numFmtId="0" fontId="33" fillId="8" borderId="5" xfId="0" applyFont="1" applyFill="1" applyBorder="1" applyAlignment="1">
      <alignment vertical="center" wrapText="1"/>
    </xf>
    <xf numFmtId="0" fontId="21" fillId="0" borderId="1" xfId="0" applyFont="1" applyBorder="1" applyAlignment="1">
      <alignment horizontal="left" vertical="top" wrapText="1"/>
    </xf>
    <xf numFmtId="0" fontId="8" fillId="0" borderId="2" xfId="0" quotePrefix="1" applyFont="1" applyBorder="1" applyAlignment="1">
      <alignment horizontal="left" vertical="top" wrapText="1"/>
    </xf>
    <xf numFmtId="0" fontId="8" fillId="0" borderId="4" xfId="0" quotePrefix="1" applyFont="1" applyBorder="1" applyAlignment="1">
      <alignment horizontal="left" vertical="top" wrapText="1"/>
    </xf>
    <xf numFmtId="0" fontId="8" fillId="0" borderId="3" xfId="0" quotePrefix="1"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1" xfId="0" applyFont="1" applyBorder="1" applyAlignment="1">
      <alignment horizontal="left" vertical="top" wrapText="1"/>
    </xf>
    <xf numFmtId="0" fontId="8" fillId="0" borderId="7" xfId="0" applyFont="1" applyBorder="1" applyAlignment="1">
      <alignment horizontal="left" vertical="top" wrapText="1"/>
    </xf>
    <xf numFmtId="0" fontId="8" fillId="0" borderId="6" xfId="0" applyFont="1" applyBorder="1" applyAlignment="1">
      <alignment horizontal="left" vertical="top" wrapText="1"/>
    </xf>
    <xf numFmtId="0" fontId="7" fillId="0" borderId="2" xfId="0" applyFont="1" applyBorder="1" applyAlignment="1">
      <alignment horizontal="left" vertical="top" wrapText="1"/>
    </xf>
    <xf numFmtId="0" fontId="7" fillId="0" borderId="4" xfId="0" applyFont="1" applyBorder="1" applyAlignment="1">
      <alignment horizontal="left" vertical="top" wrapText="1"/>
    </xf>
    <xf numFmtId="0" fontId="8" fillId="0" borderId="23" xfId="0" applyFont="1" applyBorder="1" applyAlignment="1">
      <alignment horizontal="left" vertical="top" wrapText="1"/>
    </xf>
    <xf numFmtId="0" fontId="8" fillId="0" borderId="13" xfId="0" applyFont="1" applyBorder="1" applyAlignment="1">
      <alignment horizontal="left" vertical="top" wrapText="1"/>
    </xf>
    <xf numFmtId="0" fontId="8" fillId="0" borderId="25" xfId="0" applyFont="1" applyBorder="1" applyAlignment="1">
      <alignment horizontal="left" vertical="top" wrapText="1"/>
    </xf>
    <xf numFmtId="0" fontId="8" fillId="0" borderId="5" xfId="0" applyFont="1" applyBorder="1" applyAlignment="1">
      <alignment horizontal="left" vertical="top" wrapText="1"/>
    </xf>
    <xf numFmtId="0" fontId="7" fillId="0" borderId="5" xfId="0" applyFont="1" applyBorder="1" applyAlignment="1">
      <alignment horizontal="left" vertical="top" wrapText="1"/>
    </xf>
    <xf numFmtId="0" fontId="7" fillId="0" borderId="23" xfId="0" applyFont="1" applyBorder="1" applyAlignment="1">
      <alignment horizontal="left" vertical="top" wrapText="1"/>
    </xf>
    <xf numFmtId="0" fontId="7" fillId="0" borderId="13" xfId="0" applyFont="1" applyBorder="1" applyAlignment="1">
      <alignment horizontal="left" vertical="top" wrapText="1"/>
    </xf>
    <xf numFmtId="0" fontId="7" fillId="0" borderId="24" xfId="0" applyFont="1" applyBorder="1" applyAlignment="1">
      <alignment horizontal="left" vertical="top" wrapText="1"/>
    </xf>
    <xf numFmtId="0" fontId="7" fillId="0" borderId="7" xfId="0" applyFont="1" applyBorder="1" applyAlignment="1">
      <alignment horizontal="left" vertical="top" wrapText="1"/>
    </xf>
    <xf numFmtId="0" fontId="7" fillId="0" borderId="6" xfId="0" applyFont="1" applyBorder="1" applyAlignment="1">
      <alignment horizontal="left" vertical="top" wrapText="1"/>
    </xf>
    <xf numFmtId="0" fontId="8" fillId="0" borderId="7" xfId="0" applyFont="1" applyBorder="1" applyAlignment="1">
      <alignment horizontal="center" vertical="top" wrapText="1"/>
    </xf>
    <xf numFmtId="0" fontId="8" fillId="0" borderId="25" xfId="0" applyFont="1" applyBorder="1" applyAlignment="1">
      <alignment horizontal="center" vertical="top" wrapText="1"/>
    </xf>
    <xf numFmtId="0" fontId="8" fillId="0" borderId="6" xfId="0" applyFont="1" applyBorder="1" applyAlignment="1">
      <alignment horizontal="center" vertical="top" wrapText="1"/>
    </xf>
    <xf numFmtId="0" fontId="25" fillId="0" borderId="7" xfId="0" applyFont="1" applyBorder="1" applyAlignment="1">
      <alignment horizontal="center" vertical="top" wrapText="1"/>
    </xf>
    <xf numFmtId="0" fontId="25" fillId="0" borderId="25" xfId="0" applyFont="1" applyBorder="1" applyAlignment="1">
      <alignment horizontal="center" vertical="top" wrapText="1"/>
    </xf>
    <xf numFmtId="0" fontId="25" fillId="0" borderId="6" xfId="0" applyFont="1" applyBorder="1" applyAlignment="1">
      <alignment horizontal="center" vertical="top" wrapText="1"/>
    </xf>
    <xf numFmtId="0" fontId="8" fillId="0" borderId="5" xfId="0" applyFont="1" applyBorder="1" applyAlignment="1">
      <alignment horizontal="left" vertical="center" wrapText="1"/>
    </xf>
    <xf numFmtId="0" fontId="25" fillId="0" borderId="5" xfId="0" applyFont="1" applyBorder="1" applyAlignment="1">
      <alignment horizontal="left" vertical="center" wrapText="1"/>
    </xf>
    <xf numFmtId="0" fontId="8" fillId="0" borderId="5" xfId="0" applyFont="1" applyBorder="1" applyAlignment="1">
      <alignment horizontal="left" vertical="center"/>
    </xf>
    <xf numFmtId="0" fontId="0" fillId="0" borderId="5" xfId="0" applyBorder="1" applyAlignment="1">
      <alignment horizontal="left" vertical="center"/>
    </xf>
    <xf numFmtId="0" fontId="0" fillId="0" borderId="5" xfId="0" applyBorder="1" applyAlignment="1">
      <alignment horizontal="left" vertical="top"/>
    </xf>
    <xf numFmtId="0" fontId="0" fillId="0" borderId="20" xfId="0" applyBorder="1" applyAlignment="1">
      <alignment horizontal="left" vertical="top"/>
    </xf>
    <xf numFmtId="0" fontId="0" fillId="0" borderId="32" xfId="0" applyBorder="1" applyAlignment="1">
      <alignment horizontal="left" vertical="top"/>
    </xf>
    <xf numFmtId="0" fontId="0" fillId="0" borderId="1" xfId="0" applyBorder="1" applyAlignment="1">
      <alignment horizontal="left" vertical="center" wrapText="1"/>
    </xf>
    <xf numFmtId="0" fontId="11" fillId="0" borderId="5" xfId="0" applyFont="1" applyBorder="1" applyAlignment="1">
      <alignment horizontal="left" vertical="center" wrapText="1"/>
    </xf>
    <xf numFmtId="0" fontId="0" fillId="0" borderId="7" xfId="0" applyBorder="1" applyAlignment="1">
      <alignment horizontal="left" vertical="top"/>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5" xfId="0" applyBorder="1" applyAlignment="1">
      <alignment horizontal="left" vertical="top" wrapText="1"/>
    </xf>
    <xf numFmtId="0" fontId="0" fillId="7" borderId="7" xfId="0" applyFill="1" applyBorder="1" applyAlignment="1">
      <alignment horizontal="left" vertical="top"/>
    </xf>
    <xf numFmtId="0" fontId="11" fillId="0" borderId="5" xfId="0" applyFont="1" applyBorder="1" applyAlignment="1">
      <alignment horizontal="left" vertical="center"/>
    </xf>
    <xf numFmtId="0" fontId="0" fillId="0" borderId="7" xfId="0" applyBorder="1" applyAlignment="1">
      <alignment horizontal="left" vertical="top" wrapText="1"/>
    </xf>
    <xf numFmtId="0" fontId="0" fillId="0" borderId="25" xfId="0" applyBorder="1" applyAlignment="1">
      <alignment horizontal="left" vertical="center" wrapText="1"/>
    </xf>
    <xf numFmtId="0" fontId="0" fillId="0" borderId="6" xfId="0" applyBorder="1" applyAlignment="1">
      <alignment horizontal="left" vertical="center" wrapText="1"/>
    </xf>
    <xf numFmtId="0" fontId="0" fillId="0" borderId="6" xfId="0" applyBorder="1" applyAlignment="1">
      <alignment horizontal="left" vertical="top" wrapText="1"/>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7" xfId="0" applyBorder="1" applyAlignment="1">
      <alignment horizontal="left" vertical="center"/>
    </xf>
    <xf numFmtId="0" fontId="0" fillId="0" borderId="25" xfId="0" applyBorder="1" applyAlignment="1">
      <alignment horizontal="left" vertical="center"/>
    </xf>
    <xf numFmtId="0" fontId="0" fillId="0" borderId="6" xfId="0" applyBorder="1" applyAlignment="1">
      <alignment horizontal="left" vertical="center"/>
    </xf>
    <xf numFmtId="0" fontId="4" fillId="0" borderId="5" xfId="0" applyFont="1" applyBorder="1" applyAlignment="1">
      <alignment horizontal="left" vertical="center" wrapText="1"/>
    </xf>
    <xf numFmtId="0" fontId="0" fillId="0" borderId="5" xfId="0" applyBorder="1" applyAlignment="1">
      <alignment horizontal="center" vertical="top"/>
    </xf>
    <xf numFmtId="0" fontId="5" fillId="0" borderId="2" xfId="0" applyFont="1" applyBorder="1" applyAlignment="1">
      <alignment horizontal="left" vertical="top" wrapText="1"/>
    </xf>
    <xf numFmtId="0" fontId="5" fillId="0" borderId="4" xfId="0" applyFont="1" applyBorder="1" applyAlignment="1">
      <alignment horizontal="left" vertical="top" wrapText="1"/>
    </xf>
    <xf numFmtId="0" fontId="5" fillId="0" borderId="3" xfId="0" applyFont="1" applyBorder="1" applyAlignment="1">
      <alignment horizontal="left" vertical="top" wrapText="1"/>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0" fillId="0" borderId="7" xfId="0" applyBorder="1" applyAlignment="1">
      <alignment horizontal="center" vertical="center"/>
    </xf>
    <xf numFmtId="0" fontId="0" fillId="0" borderId="2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top"/>
    </xf>
    <xf numFmtId="0" fontId="0" fillId="0" borderId="25" xfId="0" applyBorder="1" applyAlignment="1">
      <alignment horizontal="center" vertical="top"/>
    </xf>
    <xf numFmtId="0" fontId="0" fillId="0" borderId="6" xfId="0" applyBorder="1" applyAlignment="1">
      <alignment horizontal="center" vertical="top"/>
    </xf>
    <xf numFmtId="167" fontId="0" fillId="0" borderId="7" xfId="0" applyNumberFormat="1" applyBorder="1" applyAlignment="1">
      <alignment horizontal="center" vertical="center"/>
    </xf>
    <xf numFmtId="167" fontId="0" fillId="0" borderId="25" xfId="0" applyNumberFormat="1" applyBorder="1" applyAlignment="1">
      <alignment horizontal="center" vertical="center"/>
    </xf>
    <xf numFmtId="167" fontId="0" fillId="0" borderId="6" xfId="0" applyNumberFormat="1" applyBorder="1" applyAlignment="1">
      <alignment horizontal="center" vertical="center"/>
    </xf>
    <xf numFmtId="167" fontId="8" fillId="0" borderId="7" xfId="0" applyNumberFormat="1" applyFont="1" applyBorder="1" applyAlignment="1">
      <alignment horizontal="center" vertical="top" wrapText="1"/>
    </xf>
    <xf numFmtId="167" fontId="8" fillId="0" borderId="25" xfId="0" applyNumberFormat="1" applyFont="1" applyBorder="1" applyAlignment="1">
      <alignment horizontal="center" vertical="top" wrapText="1"/>
    </xf>
    <xf numFmtId="167" fontId="8" fillId="0" borderId="6" xfId="0" applyNumberFormat="1" applyFont="1" applyBorder="1" applyAlignment="1">
      <alignment horizontal="center" vertical="top" wrapText="1"/>
    </xf>
    <xf numFmtId="167" fontId="8" fillId="0" borderId="8" xfId="0" applyNumberFormat="1" applyFont="1" applyBorder="1" applyAlignment="1">
      <alignment horizontal="center" vertical="top" wrapText="1"/>
    </xf>
    <xf numFmtId="167" fontId="8" fillId="0" borderId="9" xfId="0" applyNumberFormat="1" applyFont="1" applyBorder="1" applyAlignment="1">
      <alignment horizontal="center" vertical="top" wrapText="1"/>
    </xf>
    <xf numFmtId="167" fontId="10" fillId="0" borderId="7" xfId="0" applyNumberFormat="1" applyFont="1" applyBorder="1" applyAlignment="1">
      <alignment horizontal="center" vertical="top" wrapText="1"/>
    </xf>
    <xf numFmtId="167" fontId="10" fillId="0" borderId="25" xfId="0" applyNumberFormat="1" applyFont="1" applyBorder="1" applyAlignment="1">
      <alignment horizontal="center" vertical="top" wrapText="1"/>
    </xf>
    <xf numFmtId="167" fontId="10" fillId="0" borderId="6" xfId="0" applyNumberFormat="1" applyFont="1" applyBorder="1" applyAlignment="1">
      <alignment horizontal="center" vertical="top" wrapText="1"/>
    </xf>
    <xf numFmtId="167" fontId="7" fillId="0" borderId="5" xfId="0" applyNumberFormat="1" applyFont="1" applyBorder="1" applyAlignment="1">
      <alignment horizontal="left" vertical="top"/>
    </xf>
    <xf numFmtId="167" fontId="8" fillId="0" borderId="23" xfId="0" applyNumberFormat="1" applyFont="1" applyBorder="1" applyAlignment="1">
      <alignment horizontal="center" vertical="top" wrapText="1"/>
    </xf>
    <xf numFmtId="167" fontId="8" fillId="0" borderId="13" xfId="0" applyNumberFormat="1" applyFont="1" applyBorder="1" applyAlignment="1">
      <alignment horizontal="center" vertical="top" wrapText="1"/>
    </xf>
    <xf numFmtId="167" fontId="8" fillId="0" borderId="24" xfId="0" applyNumberFormat="1" applyFont="1" applyBorder="1" applyAlignment="1">
      <alignment horizontal="center" vertical="top" wrapText="1"/>
    </xf>
    <xf numFmtId="0" fontId="11" fillId="0" borderId="5" xfId="0" applyFont="1" applyBorder="1" applyAlignment="1">
      <alignment horizontal="left" vertical="top" wrapText="1"/>
    </xf>
    <xf numFmtId="0" fontId="1" fillId="7" borderId="5" xfId="0" applyFont="1" applyFill="1" applyBorder="1" applyAlignment="1">
      <alignment horizontal="left" vertical="top"/>
    </xf>
    <xf numFmtId="0" fontId="8" fillId="0" borderId="14" xfId="0" applyFont="1" applyBorder="1" applyAlignment="1">
      <alignment horizontal="left" vertical="top"/>
    </xf>
    <xf numFmtId="167" fontId="12" fillId="0" borderId="7" xfId="0" applyNumberFormat="1" applyFont="1" applyBorder="1" applyAlignment="1">
      <alignment horizontal="center" vertical="top" wrapText="1"/>
    </xf>
    <xf numFmtId="167" fontId="12" fillId="0" borderId="25" xfId="0" applyNumberFormat="1" applyFont="1" applyBorder="1" applyAlignment="1">
      <alignment horizontal="center" vertical="top" wrapText="1"/>
    </xf>
    <xf numFmtId="167" fontId="12" fillId="0" borderId="6" xfId="0" applyNumberFormat="1" applyFont="1" applyBorder="1" applyAlignment="1">
      <alignment horizontal="center" vertical="top" wrapText="1"/>
    </xf>
    <xf numFmtId="0" fontId="5" fillId="0" borderId="9" xfId="0" applyFont="1" applyBorder="1" applyAlignment="1">
      <alignment horizontal="left" vertical="top"/>
    </xf>
    <xf numFmtId="0" fontId="10" fillId="0" borderId="5" xfId="0" applyFont="1" applyBorder="1" applyAlignment="1">
      <alignment horizontal="left" vertical="top"/>
    </xf>
    <xf numFmtId="0" fontId="8" fillId="0" borderId="5" xfId="0" applyFont="1" applyBorder="1" applyAlignment="1">
      <alignment horizontal="left" vertical="top"/>
    </xf>
    <xf numFmtId="0" fontId="8" fillId="0" borderId="7" xfId="0" applyFont="1" applyBorder="1" applyAlignment="1">
      <alignment horizontal="left" vertical="top"/>
    </xf>
    <xf numFmtId="0" fontId="8" fillId="0" borderId="6" xfId="0" applyFont="1" applyBorder="1" applyAlignment="1">
      <alignment horizontal="left" vertical="top"/>
    </xf>
    <xf numFmtId="0" fontId="1" fillId="7" borderId="7" xfId="0" applyFont="1" applyFill="1" applyBorder="1" applyAlignment="1">
      <alignment horizontal="left" vertical="top"/>
    </xf>
    <xf numFmtId="0" fontId="8" fillId="0" borderId="8" xfId="0" applyFont="1" applyBorder="1" applyAlignment="1">
      <alignment horizontal="left" vertical="top"/>
    </xf>
    <xf numFmtId="167" fontId="7" fillId="0" borderId="14" xfId="0" applyNumberFormat="1" applyFont="1" applyBorder="1" applyAlignment="1">
      <alignment horizontal="left" vertical="top"/>
    </xf>
    <xf numFmtId="0" fontId="0" fillId="7" borderId="25" xfId="0" applyFill="1" applyBorder="1" applyAlignment="1">
      <alignment horizontal="left" vertical="top"/>
    </xf>
    <xf numFmtId="0" fontId="0" fillId="7" borderId="6" xfId="0" applyFill="1" applyBorder="1" applyAlignment="1">
      <alignment horizontal="left" vertical="top"/>
    </xf>
    <xf numFmtId="0" fontId="8" fillId="0" borderId="7" xfId="0" applyFont="1" applyBorder="1" applyAlignment="1">
      <alignment horizontal="left" vertical="center"/>
    </xf>
    <xf numFmtId="0" fontId="8" fillId="0" borderId="25" xfId="0" applyFont="1" applyBorder="1" applyAlignment="1">
      <alignment horizontal="left" vertical="center"/>
    </xf>
    <xf numFmtId="0" fontId="8" fillId="0" borderId="6" xfId="0" applyFont="1" applyBorder="1" applyAlignment="1">
      <alignment horizontal="left" vertical="center"/>
    </xf>
    <xf numFmtId="167" fontId="8" fillId="7" borderId="7" xfId="0" applyNumberFormat="1" applyFont="1" applyFill="1" applyBorder="1" applyAlignment="1">
      <alignment horizontal="left" vertical="top" wrapText="1"/>
    </xf>
    <xf numFmtId="167" fontId="8" fillId="7" borderId="25" xfId="0" applyNumberFormat="1" applyFont="1" applyFill="1" applyBorder="1" applyAlignment="1">
      <alignment horizontal="left" vertical="top" wrapText="1"/>
    </xf>
    <xf numFmtId="167" fontId="8" fillId="7" borderId="6" xfId="0" applyNumberFormat="1" applyFont="1" applyFill="1" applyBorder="1" applyAlignment="1">
      <alignment horizontal="left" vertical="top" wrapText="1"/>
    </xf>
    <xf numFmtId="0" fontId="8" fillId="0" borderId="25" xfId="0" applyFont="1" applyBorder="1" applyAlignment="1">
      <alignment horizontal="left" vertical="top"/>
    </xf>
    <xf numFmtId="167" fontId="6" fillId="0" borderId="27" xfId="0" applyNumberFormat="1" applyFont="1" applyBorder="1" applyAlignment="1">
      <alignment horizontal="left" vertical="top"/>
    </xf>
    <xf numFmtId="167" fontId="6" fillId="0" borderId="28" xfId="0" applyNumberFormat="1" applyFont="1" applyBorder="1" applyAlignment="1">
      <alignment horizontal="left" vertical="top"/>
    </xf>
    <xf numFmtId="167" fontId="6" fillId="0" borderId="29" xfId="0" applyNumberFormat="1" applyFont="1" applyBorder="1" applyAlignment="1">
      <alignment horizontal="left" vertical="top"/>
    </xf>
    <xf numFmtId="0" fontId="0" fillId="7" borderId="5" xfId="0" applyFill="1" applyBorder="1" applyAlignment="1">
      <alignment horizontal="left" vertical="top"/>
    </xf>
    <xf numFmtId="0" fontId="8" fillId="0" borderId="9" xfId="0" applyFont="1" applyBorder="1" applyAlignment="1">
      <alignment horizontal="left" vertical="top"/>
    </xf>
    <xf numFmtId="0" fontId="8" fillId="0" borderId="10" xfId="0" applyFont="1" applyBorder="1" applyAlignment="1">
      <alignment horizontal="left" vertical="top"/>
    </xf>
    <xf numFmtId="167" fontId="6" fillId="0" borderId="5" xfId="0" applyNumberFormat="1" applyFont="1" applyBorder="1" applyAlignment="1">
      <alignment horizontal="left" vertical="top"/>
    </xf>
    <xf numFmtId="0" fontId="5" fillId="0" borderId="1" xfId="0" applyFont="1" applyBorder="1" applyAlignment="1">
      <alignment horizontal="left" vertical="top"/>
    </xf>
    <xf numFmtId="0" fontId="0" fillId="0" borderId="1" xfId="0" applyBorder="1" applyAlignment="1">
      <alignment horizontal="left" vertical="top"/>
    </xf>
    <xf numFmtId="0" fontId="5" fillId="0" borderId="1" xfId="0" applyFont="1" applyBorder="1" applyAlignment="1">
      <alignment horizontal="left" vertical="top" wrapText="1"/>
    </xf>
    <xf numFmtId="0" fontId="20" fillId="2" borderId="2" xfId="1" applyFont="1" applyFill="1" applyBorder="1" applyAlignment="1">
      <alignment vertical="center" wrapText="1"/>
    </xf>
    <xf numFmtId="0" fontId="20" fillId="2" borderId="3" xfId="1" applyFont="1" applyFill="1" applyBorder="1" applyAlignment="1">
      <alignment vertical="center" wrapText="1"/>
    </xf>
    <xf numFmtId="0" fontId="20" fillId="2" borderId="2" xfId="1" applyFont="1" applyFill="1" applyBorder="1" applyAlignment="1">
      <alignment horizontal="center" vertical="center" wrapText="1"/>
    </xf>
    <xf numFmtId="0" fontId="20" fillId="5" borderId="15" xfId="0" applyFont="1" applyFill="1" applyBorder="1" applyAlignment="1">
      <alignment horizontal="center" vertical="top" wrapText="1"/>
    </xf>
    <xf numFmtId="0" fontId="20" fillId="5" borderId="35" xfId="0" applyFont="1" applyFill="1" applyBorder="1" applyAlignment="1">
      <alignment horizontal="center" vertical="top" wrapText="1"/>
    </xf>
    <xf numFmtId="0" fontId="20" fillId="3" borderId="2" xfId="0" applyFont="1" applyFill="1" applyBorder="1" applyAlignment="1">
      <alignment horizontal="left" vertical="top" wrapText="1"/>
    </xf>
    <xf numFmtId="0" fontId="20" fillId="3" borderId="4" xfId="0" applyFont="1" applyFill="1" applyBorder="1" applyAlignment="1">
      <alignment horizontal="left" vertical="top" wrapText="1"/>
    </xf>
    <xf numFmtId="0" fontId="20" fillId="6" borderId="4" xfId="0" applyFont="1" applyFill="1" applyBorder="1" applyAlignment="1">
      <alignment horizontal="left" vertical="top" wrapText="1"/>
    </xf>
    <xf numFmtId="0" fontId="20" fillId="6" borderId="2" xfId="0" applyFont="1" applyFill="1" applyBorder="1" applyAlignment="1">
      <alignment horizontal="left" vertical="top" wrapText="1"/>
    </xf>
    <xf numFmtId="0" fontId="20" fillId="7" borderId="2" xfId="1" applyFont="1" applyFill="1" applyBorder="1" applyAlignment="1">
      <alignment horizontal="center" vertical="center" wrapText="1"/>
    </xf>
    <xf numFmtId="167" fontId="20" fillId="2" borderId="7" xfId="1" applyNumberFormat="1" applyFont="1" applyFill="1" applyBorder="1" applyAlignment="1">
      <alignment horizontal="left" vertical="center" wrapText="1"/>
    </xf>
    <xf numFmtId="0" fontId="20" fillId="2" borderId="18" xfId="1" applyFont="1" applyFill="1" applyBorder="1" applyAlignment="1">
      <alignment horizontal="center" vertical="center" wrapText="1"/>
    </xf>
    <xf numFmtId="0" fontId="20" fillId="2" borderId="1" xfId="1" applyFont="1" applyFill="1" applyBorder="1" applyAlignment="1">
      <alignment horizontal="center" vertical="center" wrapText="1"/>
    </xf>
    <xf numFmtId="0" fontId="20" fillId="2" borderId="15" xfId="1" applyFont="1" applyFill="1" applyBorder="1" applyAlignment="1">
      <alignment horizontal="center" vertical="center" wrapText="1"/>
    </xf>
    <xf numFmtId="0" fontId="20" fillId="2" borderId="21" xfId="1" applyFont="1" applyFill="1" applyBorder="1" applyAlignment="1">
      <alignment horizontal="center" vertical="center" wrapText="1"/>
    </xf>
    <xf numFmtId="0" fontId="20" fillId="10" borderId="12" xfId="1" applyFont="1" applyFill="1" applyBorder="1" applyAlignment="1">
      <alignment horizontal="center" wrapText="1"/>
    </xf>
    <xf numFmtId="0" fontId="20" fillId="10" borderId="0" xfId="1" applyFont="1" applyFill="1" applyAlignment="1">
      <alignment horizontal="center" wrapText="1"/>
    </xf>
    <xf numFmtId="0" fontId="20" fillId="3" borderId="18" xfId="1" applyFont="1" applyFill="1" applyBorder="1" applyAlignment="1">
      <alignment horizontal="center"/>
    </xf>
    <xf numFmtId="0" fontId="20" fillId="3" borderId="34" xfId="1" applyFont="1" applyFill="1" applyBorder="1" applyAlignment="1">
      <alignment horizontal="center"/>
    </xf>
    <xf numFmtId="0" fontId="20" fillId="3" borderId="16" xfId="1" applyFont="1" applyFill="1" applyBorder="1" applyAlignment="1">
      <alignment horizontal="center"/>
    </xf>
    <xf numFmtId="0" fontId="4" fillId="3" borderId="18" xfId="1" applyFill="1" applyBorder="1" applyAlignment="1">
      <alignment horizontal="center" wrapText="1"/>
    </xf>
    <xf numFmtId="0" fontId="4" fillId="3" borderId="34" xfId="1" applyFill="1" applyBorder="1" applyAlignment="1">
      <alignment horizontal="center" wrapText="1"/>
    </xf>
    <xf numFmtId="0" fontId="4" fillId="3" borderId="16" xfId="1" applyFill="1" applyBorder="1" applyAlignment="1">
      <alignment horizontal="center" wrapText="1"/>
    </xf>
    <xf numFmtId="0" fontId="20" fillId="5" borderId="2" xfId="0" applyFont="1" applyFill="1" applyBorder="1" applyAlignment="1">
      <alignment horizontal="center" vertical="top" wrapText="1"/>
    </xf>
    <xf numFmtId="0" fontId="20" fillId="5" borderId="4" xfId="0" applyFont="1" applyFill="1" applyBorder="1" applyAlignment="1">
      <alignment horizontal="center" vertical="top" wrapText="1"/>
    </xf>
    <xf numFmtId="0" fontId="20" fillId="6" borderId="5" xfId="0" applyFont="1" applyFill="1" applyBorder="1" applyAlignment="1">
      <alignment horizontal="left" vertical="top" wrapText="1"/>
    </xf>
    <xf numFmtId="169" fontId="29" fillId="19" borderId="5" xfId="0" applyNumberFormat="1" applyFont="1" applyFill="1" applyBorder="1" applyAlignment="1">
      <alignment horizontal="center" vertical="center" wrapText="1"/>
    </xf>
    <xf numFmtId="0" fontId="20" fillId="3" borderId="5" xfId="0" applyFont="1" applyFill="1" applyBorder="1" applyAlignment="1">
      <alignment horizontal="left" vertical="top" wrapText="1"/>
    </xf>
    <xf numFmtId="0" fontId="20" fillId="19" borderId="5" xfId="1" applyFont="1" applyFill="1" applyBorder="1" applyAlignment="1">
      <alignment horizontal="center" vertical="center" wrapText="1"/>
    </xf>
    <xf numFmtId="167" fontId="4" fillId="0" borderId="5" xfId="0" applyNumberFormat="1" applyFont="1" applyBorder="1" applyAlignment="1">
      <alignment horizontal="center" vertical="top"/>
    </xf>
    <xf numFmtId="0" fontId="4" fillId="0" borderId="5" xfId="0" applyFont="1" applyBorder="1" applyAlignment="1">
      <alignment horizontal="center" vertical="top" wrapText="1"/>
    </xf>
    <xf numFmtId="0" fontId="4" fillId="0" borderId="5" xfId="0" applyFont="1" applyBorder="1" applyAlignment="1">
      <alignment horizontal="center" vertical="top"/>
    </xf>
    <xf numFmtId="166" fontId="1" fillId="0" borderId="5" xfId="0" applyNumberFormat="1" applyFont="1" applyBorder="1" applyAlignment="1">
      <alignment horizontal="left" vertical="top"/>
    </xf>
    <xf numFmtId="0" fontId="1" fillId="0" borderId="5" xfId="0" applyFont="1" applyBorder="1" applyAlignment="1">
      <alignment horizontal="center" vertical="top"/>
    </xf>
    <xf numFmtId="167" fontId="1" fillId="0" borderId="5" xfId="0" applyNumberFormat="1" applyFont="1" applyBorder="1" applyAlignment="1">
      <alignment horizontal="left" vertical="top" wrapText="1"/>
    </xf>
    <xf numFmtId="0" fontId="1" fillId="0" borderId="5" xfId="0" applyFont="1" applyBorder="1" applyAlignment="1">
      <alignment horizontal="left" vertical="top" wrapText="1"/>
    </xf>
    <xf numFmtId="0" fontId="8" fillId="0" borderId="5" xfId="0" applyFont="1" applyBorder="1" applyAlignment="1">
      <alignment horizontal="center" vertical="center" wrapText="1"/>
    </xf>
    <xf numFmtId="167" fontId="1" fillId="0" borderId="5" xfId="0" quotePrefix="1" applyNumberFormat="1" applyFont="1" applyBorder="1" applyAlignment="1">
      <alignment horizontal="left" vertical="top" wrapText="1"/>
    </xf>
    <xf numFmtId="167" fontId="1" fillId="7" borderId="5" xfId="0" applyNumberFormat="1" applyFont="1" applyFill="1" applyBorder="1" applyAlignment="1">
      <alignment horizontal="left" vertical="top" wrapText="1"/>
    </xf>
    <xf numFmtId="167" fontId="0" fillId="7" borderId="5" xfId="0" applyNumberFormat="1" applyFill="1" applyBorder="1" applyAlignment="1">
      <alignment horizontal="left" vertical="top" wrapText="1"/>
    </xf>
    <xf numFmtId="167" fontId="8" fillId="0" borderId="5" xfId="0" applyNumberFormat="1" applyFont="1" applyBorder="1" applyAlignment="1">
      <alignment horizontal="center" vertical="center"/>
    </xf>
    <xf numFmtId="0" fontId="8" fillId="0" borderId="5" xfId="0" applyFont="1" applyBorder="1" applyAlignment="1">
      <alignment horizontal="left" wrapText="1"/>
    </xf>
    <xf numFmtId="166" fontId="8" fillId="0" borderId="5" xfId="0" applyNumberFormat="1" applyFont="1" applyBorder="1" applyAlignment="1">
      <alignment horizontal="left" wrapText="1"/>
    </xf>
    <xf numFmtId="0" fontId="1" fillId="7" borderId="5" xfId="0" applyFont="1" applyFill="1" applyBorder="1" applyAlignment="1">
      <alignment horizontal="center" vertical="top"/>
    </xf>
    <xf numFmtId="0" fontId="8" fillId="0" borderId="5" xfId="0" applyFont="1" applyBorder="1" applyAlignment="1">
      <alignment vertical="top"/>
    </xf>
    <xf numFmtId="167" fontId="8" fillId="0" borderId="5" xfId="0" applyNumberFormat="1" applyFont="1" applyBorder="1" applyAlignment="1">
      <alignment horizontal="center"/>
    </xf>
    <xf numFmtId="0" fontId="1" fillId="0" borderId="5" xfId="0" applyFont="1" applyBorder="1" applyAlignment="1">
      <alignment horizontal="center" vertical="top" wrapText="1"/>
    </xf>
    <xf numFmtId="0" fontId="1" fillId="7" borderId="25" xfId="0" applyFont="1" applyFill="1" applyBorder="1" applyAlignment="1">
      <alignment horizontal="left" vertical="top"/>
    </xf>
    <xf numFmtId="0" fontId="18" fillId="0" borderId="7"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6" xfId="0" applyFont="1" applyBorder="1" applyAlignment="1">
      <alignment horizontal="center" vertical="center" wrapText="1"/>
    </xf>
    <xf numFmtId="0" fontId="1" fillId="0" borderId="7" xfId="0" applyFont="1" applyBorder="1" applyAlignment="1">
      <alignment horizontal="center" vertical="top"/>
    </xf>
    <xf numFmtId="0" fontId="1" fillId="0" borderId="25" xfId="0" applyFont="1" applyBorder="1" applyAlignment="1">
      <alignment horizontal="center" vertical="top"/>
    </xf>
    <xf numFmtId="0" fontId="1" fillId="0" borderId="6" xfId="0" applyFont="1" applyBorder="1" applyAlignment="1">
      <alignment horizontal="center" vertical="top"/>
    </xf>
    <xf numFmtId="167" fontId="1" fillId="7" borderId="7" xfId="0" applyNumberFormat="1" applyFont="1" applyFill="1" applyBorder="1" applyAlignment="1">
      <alignment horizontal="center" vertical="center" wrapText="1"/>
    </xf>
    <xf numFmtId="167" fontId="1" fillId="7" borderId="25" xfId="0" applyNumberFormat="1" applyFont="1" applyFill="1" applyBorder="1" applyAlignment="1">
      <alignment horizontal="center" vertical="center" wrapText="1"/>
    </xf>
    <xf numFmtId="167" fontId="1" fillId="7" borderId="6" xfId="0" applyNumberFormat="1" applyFont="1" applyFill="1" applyBorder="1" applyAlignment="1">
      <alignment horizontal="center" vertical="center" wrapText="1"/>
    </xf>
    <xf numFmtId="167" fontId="1" fillId="7" borderId="23" xfId="0" applyNumberFormat="1" applyFont="1" applyFill="1" applyBorder="1" applyAlignment="1">
      <alignment horizontal="center" vertical="center" wrapText="1"/>
    </xf>
    <xf numFmtId="0" fontId="18" fillId="0" borderId="5" xfId="0" applyFont="1" applyBorder="1" applyAlignment="1">
      <alignment horizontal="center" vertical="center" wrapText="1"/>
    </xf>
    <xf numFmtId="167" fontId="0" fillId="7" borderId="7" xfId="0" applyNumberFormat="1" applyFill="1" applyBorder="1" applyAlignment="1">
      <alignment horizontal="center" vertical="center" wrapText="1"/>
    </xf>
    <xf numFmtId="167" fontId="0" fillId="7" borderId="25" xfId="0" applyNumberFormat="1" applyFill="1" applyBorder="1" applyAlignment="1">
      <alignment horizontal="center" vertical="center" wrapText="1"/>
    </xf>
    <xf numFmtId="167" fontId="0" fillId="7" borderId="6" xfId="0" applyNumberFormat="1" applyFill="1" applyBorder="1" applyAlignment="1">
      <alignment horizontal="center" vertical="center" wrapText="1"/>
    </xf>
    <xf numFmtId="167" fontId="1" fillId="0" borderId="5" xfId="0" applyNumberFormat="1" applyFont="1" applyBorder="1" applyAlignment="1">
      <alignment horizontal="center" vertical="center" wrapText="1"/>
    </xf>
    <xf numFmtId="167" fontId="1" fillId="0" borderId="7"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6" xfId="0" applyFont="1" applyBorder="1" applyAlignment="1">
      <alignment horizontal="center" vertical="center" wrapText="1"/>
    </xf>
    <xf numFmtId="167" fontId="8" fillId="0" borderId="5" xfId="0" applyNumberFormat="1" applyFont="1" applyBorder="1" applyAlignment="1">
      <alignment horizontal="center" vertical="center" wrapText="1"/>
    </xf>
    <xf numFmtId="167" fontId="0" fillId="7" borderId="5" xfId="0" applyNumberFormat="1" applyFill="1" applyBorder="1" applyAlignment="1">
      <alignment horizontal="center" vertical="center" wrapText="1"/>
    </xf>
    <xf numFmtId="0" fontId="1" fillId="0" borderId="7" xfId="0" applyFont="1" applyBorder="1" applyAlignment="1">
      <alignment horizontal="left" vertical="top" wrapText="1"/>
    </xf>
    <xf numFmtId="0" fontId="1" fillId="0" borderId="25" xfId="0" applyFont="1" applyBorder="1" applyAlignment="1">
      <alignment horizontal="left" vertical="top" wrapText="1"/>
    </xf>
    <xf numFmtId="0" fontId="1" fillId="0" borderId="6" xfId="0" applyFont="1" applyBorder="1" applyAlignment="1">
      <alignment horizontal="left" vertical="top"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167" fontId="1" fillId="0" borderId="5" xfId="0" applyNumberFormat="1" applyFont="1" applyBorder="1" applyAlignment="1">
      <alignment horizontal="left" vertical="center" wrapText="1"/>
    </xf>
    <xf numFmtId="0" fontId="1" fillId="7" borderId="6" xfId="0" applyFont="1" applyFill="1" applyBorder="1" applyAlignment="1">
      <alignment horizontal="left" vertical="top"/>
    </xf>
    <xf numFmtId="0" fontId="1" fillId="0" borderId="5" xfId="0" applyFont="1" applyBorder="1" applyAlignment="1">
      <alignment horizontal="left" vertical="top"/>
    </xf>
    <xf numFmtId="0" fontId="1" fillId="0" borderId="7" xfId="0" applyFont="1" applyBorder="1" applyAlignment="1">
      <alignment horizontal="center" vertical="top" wrapText="1"/>
    </xf>
    <xf numFmtId="0" fontId="1" fillId="0" borderId="7" xfId="0" applyFont="1" applyBorder="1" applyAlignment="1">
      <alignment horizontal="center" vertical="center" wrapText="1"/>
    </xf>
    <xf numFmtId="0" fontId="1" fillId="7" borderId="5" xfId="0" applyFont="1" applyFill="1" applyBorder="1" applyAlignment="1">
      <alignment horizontal="left" vertical="center" wrapText="1"/>
    </xf>
  </cellXfs>
  <cellStyles count="2">
    <cellStyle name="Normal" xfId="0" builtinId="0"/>
    <cellStyle name="Normal 4" xfId="1" xr:uid="{460CAE18-B1EB-47BC-9E7A-E13798C1DC10}"/>
  </cellStyles>
  <dxfs count="15">
    <dxf>
      <fill>
        <patternFill>
          <bgColor theme="6" tint="0.39994506668294322"/>
        </patternFill>
      </fill>
    </dxf>
    <dxf>
      <fill>
        <patternFill>
          <bgColor theme="6" tint="0.39994506668294322"/>
        </patternFill>
      </fill>
    </dxf>
    <dxf>
      <fill>
        <patternFill>
          <bgColor theme="6"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s>
  <tableStyles count="0" defaultTableStyle="TableStyleMedium2" defaultPivotStyle="PivotStyleLight16"/>
  <colors>
    <mruColors>
      <color rgb="FFD0CECE"/>
      <color rgb="FFF7AD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168275</xdr:colOff>
      <xdr:row>1</xdr:row>
      <xdr:rowOff>98425</xdr:rowOff>
    </xdr:from>
    <xdr:to>
      <xdr:col>17</xdr:col>
      <xdr:colOff>63500</xdr:colOff>
      <xdr:row>5</xdr:row>
      <xdr:rowOff>133350</xdr:rowOff>
    </xdr:to>
    <xdr:pic>
      <xdr:nvPicPr>
        <xdr:cNvPr id="20" name="Picture 4">
          <a:extLst>
            <a:ext uri="{FF2B5EF4-FFF2-40B4-BE49-F238E27FC236}">
              <a16:creationId xmlns:a16="http://schemas.microsoft.com/office/drawing/2014/main" id="{5604266D-5687-876F-0263-15CFF9D8C9EA}"/>
            </a:ext>
          </a:extLst>
        </xdr:cNvPr>
        <xdr:cNvPicPr>
          <a:picLocks noChangeAspect="1"/>
        </xdr:cNvPicPr>
      </xdr:nvPicPr>
      <xdr:blipFill>
        <a:blip xmlns:r="http://schemas.openxmlformats.org/officeDocument/2006/relationships" r:embed="rId1"/>
        <a:stretch>
          <a:fillRect/>
        </a:stretch>
      </xdr:blipFill>
      <xdr:spPr>
        <a:xfrm>
          <a:off x="21828125" y="688975"/>
          <a:ext cx="4581525" cy="1930400"/>
        </a:xfrm>
        <a:prstGeom prst="rect">
          <a:avLst/>
        </a:prstGeom>
      </xdr:spPr>
    </xdr:pic>
    <xdr:clientData/>
  </xdr:twoCellAnchor>
  <xdr:twoCellAnchor editAs="oneCell">
    <xdr:from>
      <xdr:col>10</xdr:col>
      <xdr:colOff>114300</xdr:colOff>
      <xdr:row>181</xdr:row>
      <xdr:rowOff>123825</xdr:rowOff>
    </xdr:from>
    <xdr:to>
      <xdr:col>17</xdr:col>
      <xdr:colOff>341630</xdr:colOff>
      <xdr:row>185</xdr:row>
      <xdr:rowOff>229870</xdr:rowOff>
    </xdr:to>
    <xdr:pic>
      <xdr:nvPicPr>
        <xdr:cNvPr id="11" name="Picture 1">
          <a:extLst>
            <a:ext uri="{FF2B5EF4-FFF2-40B4-BE49-F238E27FC236}">
              <a16:creationId xmlns:a16="http://schemas.microsoft.com/office/drawing/2014/main" id="{46AB3B35-8FF6-413B-9549-0F28EA211C5C}"/>
            </a:ext>
          </a:extLst>
        </xdr:cNvPr>
        <xdr:cNvPicPr>
          <a:picLocks noChangeAspect="1"/>
        </xdr:cNvPicPr>
      </xdr:nvPicPr>
      <xdr:blipFill>
        <a:blip xmlns:r="http://schemas.openxmlformats.org/officeDocument/2006/relationships" r:embed="rId1"/>
        <a:stretch>
          <a:fillRect/>
        </a:stretch>
      </xdr:blipFill>
      <xdr:spPr>
        <a:xfrm>
          <a:off x="22107525" y="86677500"/>
          <a:ext cx="4845050" cy="2228850"/>
        </a:xfrm>
        <a:prstGeom prst="rect">
          <a:avLst/>
        </a:prstGeom>
      </xdr:spPr>
    </xdr:pic>
    <xdr:clientData/>
  </xdr:twoCellAnchor>
  <xdr:twoCellAnchor editAs="oneCell">
    <xdr:from>
      <xdr:col>10</xdr:col>
      <xdr:colOff>104775</xdr:colOff>
      <xdr:row>308</xdr:row>
      <xdr:rowOff>142875</xdr:rowOff>
    </xdr:from>
    <xdr:to>
      <xdr:col>17</xdr:col>
      <xdr:colOff>113030</xdr:colOff>
      <xdr:row>319</xdr:row>
      <xdr:rowOff>172720</xdr:rowOff>
    </xdr:to>
    <xdr:pic>
      <xdr:nvPicPr>
        <xdr:cNvPr id="22" name="Picture 1">
          <a:extLst>
            <a:ext uri="{FF2B5EF4-FFF2-40B4-BE49-F238E27FC236}">
              <a16:creationId xmlns:a16="http://schemas.microsoft.com/office/drawing/2014/main" id="{E5113721-A57F-4D46-AB35-DAC96FA2641A}"/>
            </a:ext>
            <a:ext uri="{147F2762-F138-4A5C-976F-8EAC2B608ADB}">
              <a16:predDERef xmlns:a16="http://schemas.microsoft.com/office/drawing/2014/main" pred="{46AB3B35-8FF6-413B-9549-0F28EA211C5C}"/>
            </a:ext>
          </a:extLst>
        </xdr:cNvPr>
        <xdr:cNvPicPr>
          <a:picLocks noChangeAspect="1"/>
        </xdr:cNvPicPr>
      </xdr:nvPicPr>
      <xdr:blipFill>
        <a:blip xmlns:r="http://schemas.openxmlformats.org/officeDocument/2006/relationships" r:embed="rId1"/>
        <a:stretch>
          <a:fillRect/>
        </a:stretch>
      </xdr:blipFill>
      <xdr:spPr>
        <a:xfrm>
          <a:off x="21774150" y="131006850"/>
          <a:ext cx="4694555" cy="2211070"/>
        </a:xfrm>
        <a:prstGeom prst="rect">
          <a:avLst/>
        </a:prstGeom>
      </xdr:spPr>
    </xdr:pic>
    <xdr:clientData/>
  </xdr:twoCellAnchor>
  <xdr:twoCellAnchor editAs="oneCell">
    <xdr:from>
      <xdr:col>15</xdr:col>
      <xdr:colOff>466725</xdr:colOff>
      <xdr:row>28</xdr:row>
      <xdr:rowOff>152400</xdr:rowOff>
    </xdr:from>
    <xdr:to>
      <xdr:col>23</xdr:col>
      <xdr:colOff>74295</xdr:colOff>
      <xdr:row>32</xdr:row>
      <xdr:rowOff>1905</xdr:rowOff>
    </xdr:to>
    <xdr:pic>
      <xdr:nvPicPr>
        <xdr:cNvPr id="2" name="Picture 3">
          <a:extLst>
            <a:ext uri="{FF2B5EF4-FFF2-40B4-BE49-F238E27FC236}">
              <a16:creationId xmlns:a16="http://schemas.microsoft.com/office/drawing/2014/main" id="{E6A7D730-4E77-4B42-8087-2241E1BD3312}"/>
            </a:ext>
            <a:ext uri="{147F2762-F138-4A5C-976F-8EAC2B608ADB}">
              <a16:predDERef xmlns:a16="http://schemas.microsoft.com/office/drawing/2014/main" pred="{E5113721-A57F-4D46-AB35-DAC96FA2641A}"/>
            </a:ext>
          </a:extLst>
        </xdr:cNvPr>
        <xdr:cNvPicPr>
          <a:picLocks noChangeAspect="1"/>
        </xdr:cNvPicPr>
      </xdr:nvPicPr>
      <xdr:blipFill>
        <a:blip xmlns:r="http://schemas.openxmlformats.org/officeDocument/2006/relationships" r:embed="rId1"/>
        <a:stretch>
          <a:fillRect/>
        </a:stretch>
      </xdr:blipFill>
      <xdr:spPr>
        <a:xfrm>
          <a:off x="25431750" y="12001500"/>
          <a:ext cx="4362450" cy="1790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238125</xdr:colOff>
      <xdr:row>2</xdr:row>
      <xdr:rowOff>504825</xdr:rowOff>
    </xdr:from>
    <xdr:to>
      <xdr:col>7</xdr:col>
      <xdr:colOff>4600575</xdr:colOff>
      <xdr:row>8</xdr:row>
      <xdr:rowOff>222704</xdr:rowOff>
    </xdr:to>
    <xdr:pic>
      <xdr:nvPicPr>
        <xdr:cNvPr id="2" name="Picture 1">
          <a:extLst>
            <a:ext uri="{FF2B5EF4-FFF2-40B4-BE49-F238E27FC236}">
              <a16:creationId xmlns:a16="http://schemas.microsoft.com/office/drawing/2014/main" id="{4C68B450-BABF-4A59-B4A7-8E79804DDC1A}"/>
            </a:ext>
          </a:extLst>
        </xdr:cNvPr>
        <xdr:cNvPicPr>
          <a:picLocks noChangeAspect="1"/>
        </xdr:cNvPicPr>
      </xdr:nvPicPr>
      <xdr:blipFill>
        <a:blip xmlns:r="http://schemas.openxmlformats.org/officeDocument/2006/relationships" r:embed="rId1"/>
        <a:stretch>
          <a:fillRect/>
        </a:stretch>
      </xdr:blipFill>
      <xdr:spPr>
        <a:xfrm>
          <a:off x="13906500" y="1047750"/>
          <a:ext cx="4362450" cy="2356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mqoutlook-my.sharepoint.com/personal/jasonalexander_tan_students_mq_edu_au/Documents/Group%20Assignments/COMP8300%20Security%20Management%20(GA)/05%20-%20Combined%20Final%20Submissions/TFA%20Comprehensive%20Risk%20Register%20MMB%20copy.xlsx?F5E61D83" TargetMode="External"/><Relationship Id="rId1" Type="http://schemas.openxmlformats.org/officeDocument/2006/relationships/externalLinkPath" Target="file:///F5E61D83/TFA%20Comprehensive%20Risk%20Register%20MMB%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Register"/>
      <sheetName val="Risk Rating Methodology"/>
      <sheetName val="Risk Categories_Final"/>
      <sheetName val="Control Rating Methodology"/>
      <sheetName val="Pivot information risk"/>
      <sheetName val="Suggested controls"/>
      <sheetName val="BSI"/>
      <sheetName val="Assets"/>
      <sheetName val="InfoSec Register"/>
      <sheetName val="InfoSec ONLY"/>
      <sheetName val="InfoSec RR"/>
      <sheetName val="TS RR"/>
      <sheetName val="TFS Data-ONLY scenarios"/>
      <sheetName val="Speculati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ED84-BF1E-482D-BC8B-9C5F92C7C717}">
  <dimension ref="A1:L115"/>
  <sheetViews>
    <sheetView tabSelected="1" zoomScale="85" zoomScaleNormal="85" workbookViewId="0">
      <pane ySplit="1" topLeftCell="A2" activePane="bottomLeft" state="frozen"/>
      <selection pane="bottomLeft" activeCell="F19" sqref="F19"/>
    </sheetView>
  </sheetViews>
  <sheetFormatPr baseColWidth="10" defaultColWidth="8.6640625" defaultRowHeight="15" x14ac:dyDescent="0.2"/>
  <cols>
    <col min="1" max="1" width="12.6640625" style="220" customWidth="1"/>
    <col min="2" max="2" width="29.6640625" style="23" customWidth="1"/>
    <col min="3" max="3" width="41.6640625" style="228" customWidth="1"/>
    <col min="4" max="4" width="9.5" style="188" customWidth="1"/>
    <col min="5" max="5" width="28.6640625" style="229" customWidth="1"/>
    <col min="6" max="6" width="37.6640625" style="227" customWidth="1"/>
    <col min="7" max="7" width="37.6640625" style="22" customWidth="1"/>
    <col min="8" max="8" width="57" style="227" bestFit="1" customWidth="1"/>
    <col min="9" max="9" width="42.5" style="227" bestFit="1" customWidth="1"/>
    <col min="10" max="10" width="46.33203125" style="227" customWidth="1"/>
    <col min="11" max="11" width="43.6640625" style="227" customWidth="1"/>
    <col min="12" max="12" width="21" style="230" customWidth="1"/>
  </cols>
  <sheetData>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 spans="1:12" s="237" customFormat="1" ht="36.5" customHeight="1" x14ac:dyDescent="0.2">
      <c r="A1" s="231" t="s">
        <v>0</v>
      </c>
      <c r="B1" s="231" t="s">
        <v>1</v>
      </c>
      <c r="C1" s="231" t="s">
        <v>2</v>
      </c>
      <c r="D1" s="231" t="s">
        <v>3</v>
      </c>
      <c r="E1" s="232" t="s">
        <v>4</v>
      </c>
      <c r="F1" s="231" t="s">
        <v>5</v>
      </c>
      <c r="G1" s="233" t="s">
        <v>6</v>
      </c>
      <c r="H1" s="234" t="s">
        <v>7</v>
      </c>
      <c r="I1" s="234" t="s">
        <v>8</v>
      </c>
      <c r="J1" s="235" t="s">
        <v>9</v>
      </c>
      <c r="K1" s="231" t="s">
        <v>10</v>
      </c>
      <c r="L1" s="236" t="s">
        <v>11</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 spans="1:12" s="190" customFormat="1" ht="48" x14ac:dyDescent="0.2">
      <c r="A2" s="600" t="s">
        <v>12</v>
      </c>
      <c r="B2" s="600" t="s">
        <v>13</v>
      </c>
      <c r="C2" s="600" t="s">
        <v>14</v>
      </c>
      <c r="D2" s="15" t="s">
        <v>15</v>
      </c>
      <c r="E2" s="15" t="s">
        <v>16</v>
      </c>
      <c r="F2" s="15" t="s">
        <v>17</v>
      </c>
      <c r="G2" s="15" t="s">
        <v>18</v>
      </c>
      <c r="H2" s="15" t="s">
        <v>19</v>
      </c>
      <c r="I2" s="48" t="s">
        <v>20</v>
      </c>
      <c r="J2" s="15" t="s">
        <v>21</v>
      </c>
      <c r="K2" s="15" t="s">
        <v>22</v>
      </c>
      <c r="L2" s="189">
        <v>200000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 spans="1:12" s="190" customFormat="1" ht="48" x14ac:dyDescent="0.2">
      <c r="D3" s="15" t="s">
        <v>23</v>
      </c>
      <c r="E3" s="15" t="s">
        <v>24</v>
      </c>
      <c r="F3" s="15" t="s">
        <v>25</v>
      </c>
      <c r="G3" s="15" t="s">
        <v>26</v>
      </c>
      <c r="H3" s="15" t="s">
        <v>27</v>
      </c>
      <c r="I3" s="48" t="s">
        <v>20</v>
      </c>
      <c r="J3" s="15" t="s">
        <v>28</v>
      </c>
      <c r="K3" s="15" t="s">
        <v>29</v>
      </c>
      <c r="L3" s="189">
        <v>200000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 spans="1:12" s="190" customFormat="1" ht="48" x14ac:dyDescent="0.2">
      <c r="D4" s="15" t="s">
        <v>30</v>
      </c>
      <c r="E4" s="15" t="s">
        <v>31</v>
      </c>
      <c r="F4" s="15" t="s">
        <v>32</v>
      </c>
      <c r="G4" s="15" t="s">
        <v>33</v>
      </c>
      <c r="H4" s="15" t="s">
        <v>34</v>
      </c>
      <c r="I4" s="48" t="s">
        <v>20</v>
      </c>
      <c r="J4" s="15" t="s">
        <v>35</v>
      </c>
      <c r="K4" s="15" t="s">
        <v>36</v>
      </c>
      <c r="L4" s="189">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 spans="1:12" s="190" customFormat="1" ht="48" x14ac:dyDescent="0.2">
      <c r="B5" s="600" t="s">
        <v>37</v>
      </c>
      <c r="C5" s="600" t="s">
        <v>38</v>
      </c>
      <c r="D5" s="15" t="s">
        <v>39</v>
      </c>
      <c r="E5" s="15" t="s">
        <v>40</v>
      </c>
      <c r="F5" s="15" t="s">
        <v>41</v>
      </c>
      <c r="G5" s="15" t="s">
        <v>42</v>
      </c>
      <c r="H5" s="15" t="s">
        <v>43</v>
      </c>
      <c r="I5" s="48" t="s">
        <v>20</v>
      </c>
      <c r="J5" s="15" t="s">
        <v>44</v>
      </c>
      <c r="K5" s="15" t="s">
        <v>45</v>
      </c>
      <c r="L5" s="189">
        <v>70000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 spans="1:12" s="190" customFormat="1" ht="64.25" customHeight="1" x14ac:dyDescent="0.2">
      <c r="D6" s="15" t="s">
        <v>46</v>
      </c>
      <c r="E6" s="15" t="s">
        <v>47</v>
      </c>
      <c r="F6" s="15" t="s">
        <v>48</v>
      </c>
      <c r="G6" s="15" t="s">
        <v>49</v>
      </c>
      <c r="H6" s="15" t="s">
        <v>50</v>
      </c>
      <c r="I6" s="48" t="s">
        <v>20</v>
      </c>
      <c r="J6" s="15" t="s">
        <v>51</v>
      </c>
      <c r="K6" s="15" t="s">
        <v>52</v>
      </c>
      <c r="L6" s="189">
        <v>80000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 spans="1:12" s="190" customFormat="1" ht="48" x14ac:dyDescent="0.2">
      <c r="D7" s="15" t="s">
        <v>53</v>
      </c>
      <c r="E7" s="15" t="s">
        <v>54</v>
      </c>
      <c r="F7" s="15" t="s">
        <v>55</v>
      </c>
      <c r="G7" s="15" t="s">
        <v>56</v>
      </c>
      <c r="H7" s="15" t="s">
        <v>57</v>
      </c>
      <c r="I7" s="48" t="s">
        <v>20</v>
      </c>
      <c r="J7" s="15" t="s">
        <v>58</v>
      </c>
      <c r="K7" s="15" t="s">
        <v>59</v>
      </c>
      <c r="L7" s="189">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 spans="1:12" s="190" customFormat="1" ht="48" x14ac:dyDescent="0.2">
      <c r="B8" s="600" t="s">
        <v>60</v>
      </c>
      <c r="C8" s="600" t="s">
        <v>61</v>
      </c>
      <c r="D8" s="15" t="s">
        <v>62</v>
      </c>
      <c r="E8" s="15" t="s">
        <v>63</v>
      </c>
      <c r="F8" s="15" t="s">
        <v>64</v>
      </c>
      <c r="G8" s="15" t="s">
        <v>65</v>
      </c>
      <c r="H8" s="15" t="s">
        <v>66</v>
      </c>
      <c r="I8" s="48" t="s">
        <v>20</v>
      </c>
      <c r="J8" s="15" t="s">
        <v>67</v>
      </c>
      <c r="K8" s="15" t="s">
        <v>68</v>
      </c>
      <c r="L8" s="189">
        <v>80000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 spans="1:12" s="190" customFormat="1" ht="48" x14ac:dyDescent="0.2">
      <c r="D9" s="15" t="s">
        <v>69</v>
      </c>
      <c r="E9" s="15" t="s">
        <v>70</v>
      </c>
      <c r="F9" s="15" t="s">
        <v>71</v>
      </c>
      <c r="G9" s="15" t="s">
        <v>72</v>
      </c>
      <c r="H9" s="15" t="s">
        <v>73</v>
      </c>
      <c r="I9" s="48" t="s">
        <v>20</v>
      </c>
      <c r="J9" s="15" t="s">
        <v>74</v>
      </c>
      <c r="K9" s="15" t="s">
        <v>75</v>
      </c>
      <c r="L9" s="189">
        <v>80000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 spans="1:12" s="190" customFormat="1" ht="48" x14ac:dyDescent="0.2">
      <c r="D10" s="15" t="s">
        <v>76</v>
      </c>
      <c r="E10" s="15" t="s">
        <v>77</v>
      </c>
      <c r="F10" s="15" t="s">
        <v>78</v>
      </c>
      <c r="G10" s="15" t="s">
        <v>79</v>
      </c>
      <c r="H10" s="15" t="s">
        <v>80</v>
      </c>
      <c r="I10" s="48" t="s">
        <v>20</v>
      </c>
      <c r="J10" s="15" t="s">
        <v>81</v>
      </c>
      <c r="K10" s="15" t="s">
        <v>82</v>
      </c>
      <c r="L10" s="189">
        <v>60000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 spans="1:12" s="190" customFormat="1" ht="48" x14ac:dyDescent="0.2">
      <c r="B11" s="600" t="s">
        <v>83</v>
      </c>
      <c r="C11" s="600" t="s">
        <v>84</v>
      </c>
      <c r="D11" s="15" t="s">
        <v>85</v>
      </c>
      <c r="E11" s="15" t="s">
        <v>86</v>
      </c>
      <c r="F11" s="15" t="s">
        <v>87</v>
      </c>
      <c r="G11" s="15" t="s">
        <v>88</v>
      </c>
      <c r="H11" s="15" t="s">
        <v>89</v>
      </c>
      <c r="I11" s="48" t="s">
        <v>20</v>
      </c>
      <c r="J11" s="15" t="s">
        <v>90</v>
      </c>
      <c r="K11" s="15" t="s">
        <v>91</v>
      </c>
      <c r="L11" s="189">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 spans="1:12" s="190" customFormat="1" ht="48" x14ac:dyDescent="0.2">
      <c r="D12" s="15" t="s">
        <v>92</v>
      </c>
      <c r="E12" s="15" t="s">
        <v>93</v>
      </c>
      <c r="F12" s="15" t="s">
        <v>94</v>
      </c>
      <c r="G12" s="15" t="s">
        <v>95</v>
      </c>
      <c r="H12" s="15" t="s">
        <v>96</v>
      </c>
      <c r="I12" s="48" t="s">
        <v>20</v>
      </c>
      <c r="J12" s="15" t="s">
        <v>97</v>
      </c>
      <c r="K12" s="15" t="s">
        <v>98</v>
      </c>
      <c r="L12" s="189">
        <v>90000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 spans="1:12" s="190" customFormat="1" ht="48" x14ac:dyDescent="0.2">
      <c r="D13" s="15" t="s">
        <v>99</v>
      </c>
      <c r="E13" s="15" t="s">
        <v>100</v>
      </c>
      <c r="F13" s="15" t="s">
        <v>101</v>
      </c>
      <c r="G13" s="15" t="s">
        <v>102</v>
      </c>
      <c r="H13" s="15" t="s">
        <v>103</v>
      </c>
      <c r="I13" s="48" t="s">
        <v>20</v>
      </c>
      <c r="J13" s="15" t="s">
        <v>104</v>
      </c>
      <c r="K13" s="15" t="s">
        <v>105</v>
      </c>
      <c r="L13" s="189">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 spans="1:12" s="190" customFormat="1" ht="64" x14ac:dyDescent="0.2">
      <c r="B14" s="600" t="s">
        <v>106</v>
      </c>
      <c r="C14" s="600" t="s">
        <v>107</v>
      </c>
      <c r="D14" s="15" t="s">
        <v>108</v>
      </c>
      <c r="E14" s="15" t="s">
        <v>109</v>
      </c>
      <c r="F14" s="15" t="s">
        <v>110</v>
      </c>
      <c r="G14" s="15" t="s">
        <v>111</v>
      </c>
      <c r="H14" s="15" t="s">
        <v>112</v>
      </c>
      <c r="I14" s="48" t="s">
        <v>20</v>
      </c>
      <c r="J14" s="15" t="s">
        <v>113</v>
      </c>
      <c r="K14" s="15" t="s">
        <v>114</v>
      </c>
      <c r="L14" s="189">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 spans="1:12" s="190" customFormat="1" ht="48" x14ac:dyDescent="0.2">
      <c r="D15" s="15" t="s">
        <v>115</v>
      </c>
      <c r="E15" s="15" t="s">
        <v>116</v>
      </c>
      <c r="F15" s="15" t="s">
        <v>117</v>
      </c>
      <c r="G15" s="15" t="s">
        <v>118</v>
      </c>
      <c r="H15" s="15" t="s">
        <v>119</v>
      </c>
      <c r="I15" s="48" t="s">
        <v>20</v>
      </c>
      <c r="J15" s="15" t="s">
        <v>120</v>
      </c>
      <c r="K15" s="15" t="s">
        <v>121</v>
      </c>
      <c r="L15" s="189">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 spans="1:12" s="190" customFormat="1" ht="48" x14ac:dyDescent="0.2">
      <c r="D16" s="15" t="s">
        <v>122</v>
      </c>
      <c r="E16" s="15" t="s">
        <v>123</v>
      </c>
      <c r="F16" s="15" t="s">
        <v>124</v>
      </c>
      <c r="G16" s="15" t="s">
        <v>125</v>
      </c>
      <c r="H16" s="15" t="s">
        <v>126</v>
      </c>
      <c r="I16" s="48" t="s">
        <v>20</v>
      </c>
      <c r="J16" s="15" t="s">
        <v>127</v>
      </c>
      <c r="K16" s="15" t="s">
        <v>128</v>
      </c>
      <c r="L16" s="189">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 spans="1:12" s="190" customFormat="1" ht="48" x14ac:dyDescent="0.2">
      <c r="A18" s="600" t="s">
        <v>129</v>
      </c>
      <c r="B18" s="601" t="s">
        <v>130</v>
      </c>
      <c r="C18" s="601" t="s">
        <v>131</v>
      </c>
      <c r="D18" s="15" t="s">
        <v>132</v>
      </c>
      <c r="E18" s="48" t="s">
        <v>133</v>
      </c>
      <c r="F18" s="48" t="s">
        <v>134</v>
      </c>
      <c r="G18" s="48" t="s">
        <v>135</v>
      </c>
      <c r="H18" s="48" t="s">
        <v>136</v>
      </c>
      <c r="I18" s="48" t="s">
        <v>137</v>
      </c>
      <c r="J18" s="48" t="s">
        <v>138</v>
      </c>
      <c r="K18" s="48" t="s">
        <v>139</v>
      </c>
      <c r="L18" s="189">
        <v>200000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 spans="1:12" s="190" customFormat="1" ht="48" x14ac:dyDescent="0.2">
      <c r="D19" s="15" t="s">
        <v>140</v>
      </c>
      <c r="E19" s="48" t="s">
        <v>141</v>
      </c>
      <c r="F19" s="48" t="s">
        <v>142</v>
      </c>
      <c r="G19" s="48" t="s">
        <v>143</v>
      </c>
      <c r="H19" s="48" t="s">
        <v>144</v>
      </c>
      <c r="I19" s="48" t="s">
        <v>145</v>
      </c>
      <c r="J19" s="48" t="s">
        <v>146</v>
      </c>
      <c r="K19" s="48" t="s">
        <v>147</v>
      </c>
      <c r="L19" s="189">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 spans="1:12" s="190" customFormat="1" ht="48" x14ac:dyDescent="0.2">
      <c r="B20" s="601" t="s">
        <v>148</v>
      </c>
      <c r="C20" s="601" t="s">
        <v>149</v>
      </c>
      <c r="D20" s="15" t="s">
        <v>150</v>
      </c>
      <c r="E20" s="48" t="s">
        <v>151</v>
      </c>
      <c r="F20" s="48" t="s">
        <v>152</v>
      </c>
      <c r="G20" s="48" t="s">
        <v>153</v>
      </c>
      <c r="H20" s="48" t="s">
        <v>154</v>
      </c>
      <c r="I20" s="48" t="s">
        <v>155</v>
      </c>
      <c r="J20" s="48" t="s">
        <v>156</v>
      </c>
      <c r="K20" s="48" t="s">
        <v>157</v>
      </c>
      <c r="L20" s="189">
        <v>200000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 spans="1:12" s="190" customFormat="1" ht="48" x14ac:dyDescent="0.2">
      <c r="D21" s="15" t="s">
        <v>158</v>
      </c>
      <c r="E21" s="48" t="s">
        <v>159</v>
      </c>
      <c r="F21" s="48" t="s">
        <v>160</v>
      </c>
      <c r="G21" s="48" t="s">
        <v>161</v>
      </c>
      <c r="H21" s="48" t="s">
        <v>162</v>
      </c>
      <c r="I21" s="48" t="s">
        <v>163</v>
      </c>
      <c r="J21" s="48" t="s">
        <v>164</v>
      </c>
      <c r="K21" s="48" t="s">
        <v>165</v>
      </c>
      <c r="L21" s="189">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 spans="1:12" s="190" customFormat="1" ht="48" x14ac:dyDescent="0.2">
      <c r="B22" s="601" t="s">
        <v>166</v>
      </c>
      <c r="C22" s="601" t="s">
        <v>167</v>
      </c>
      <c r="D22" s="15" t="s">
        <v>168</v>
      </c>
      <c r="E22" s="48" t="s">
        <v>169</v>
      </c>
      <c r="F22" s="48" t="s">
        <v>170</v>
      </c>
      <c r="G22" s="48" t="s">
        <v>171</v>
      </c>
      <c r="H22" s="48" t="s">
        <v>172</v>
      </c>
      <c r="I22" s="48" t="s">
        <v>20</v>
      </c>
      <c r="J22" s="48" t="s">
        <v>173</v>
      </c>
      <c r="K22" s="48" t="s">
        <v>174</v>
      </c>
      <c r="L22" s="189">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 spans="1:12" s="190" customFormat="1" ht="48" x14ac:dyDescent="0.2">
      <c r="D23" s="15" t="s">
        <v>175</v>
      </c>
      <c r="E23" s="48" t="s">
        <v>176</v>
      </c>
      <c r="F23" s="48" t="s">
        <v>177</v>
      </c>
      <c r="G23" s="48" t="s">
        <v>178</v>
      </c>
      <c r="H23" s="48" t="s">
        <v>179</v>
      </c>
      <c r="I23" s="48" t="s">
        <v>180</v>
      </c>
      <c r="J23" s="48" t="s">
        <v>181</v>
      </c>
      <c r="K23" s="48" t="s">
        <v>182</v>
      </c>
      <c r="L23" s="189">
        <v>180000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 spans="1:12" s="190" customFormat="1" ht="48" x14ac:dyDescent="0.2">
      <c r="D24" s="15" t="s">
        <v>183</v>
      </c>
      <c r="E24" s="48" t="s">
        <v>184</v>
      </c>
      <c r="F24" s="48" t="s">
        <v>185</v>
      </c>
      <c r="G24" s="48" t="s">
        <v>186</v>
      </c>
      <c r="H24" s="48" t="s">
        <v>187</v>
      </c>
      <c r="I24" s="48" t="s">
        <v>188</v>
      </c>
      <c r="J24" s="48" t="s">
        <v>189</v>
      </c>
      <c r="K24" s="48" t="s">
        <v>190</v>
      </c>
      <c r="L24" s="189">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 spans="1:12" s="190" customFormat="1" ht="48" x14ac:dyDescent="0.2">
      <c r="B25" s="601" t="s">
        <v>191</v>
      </c>
      <c r="C25" s="601" t="s">
        <v>192</v>
      </c>
      <c r="D25" s="15" t="s">
        <v>193</v>
      </c>
      <c r="E25" s="48" t="s">
        <v>194</v>
      </c>
      <c r="F25" s="48" t="s">
        <v>195</v>
      </c>
      <c r="G25" s="48" t="s">
        <v>196</v>
      </c>
      <c r="H25" s="48" t="s">
        <v>197</v>
      </c>
      <c r="I25" s="48" t="s">
        <v>198</v>
      </c>
      <c r="J25" s="48" t="s">
        <v>199</v>
      </c>
      <c r="K25" s="48" t="s">
        <v>200</v>
      </c>
      <c r="L25" s="189">
        <v>120000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 spans="1:12" s="190" customFormat="1" ht="48" x14ac:dyDescent="0.2">
      <c r="D26" s="15" t="s">
        <v>201</v>
      </c>
      <c r="E26" s="48" t="s">
        <v>202</v>
      </c>
      <c r="F26" s="48" t="s">
        <v>203</v>
      </c>
      <c r="G26" s="48" t="s">
        <v>204</v>
      </c>
      <c r="H26" s="48" t="s">
        <v>205</v>
      </c>
      <c r="I26" s="48" t="s">
        <v>206</v>
      </c>
      <c r="J26" s="48" t="s">
        <v>207</v>
      </c>
      <c r="K26" s="48" t="s">
        <v>208</v>
      </c>
      <c r="L26" s="189">
        <v>130000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 spans="1:12" s="190" customFormat="1" ht="64" x14ac:dyDescent="0.2">
      <c r="B27" s="601" t="s">
        <v>209</v>
      </c>
      <c r="C27" s="601" t="s">
        <v>210</v>
      </c>
      <c r="D27" s="15" t="s">
        <v>211</v>
      </c>
      <c r="E27" s="48" t="s">
        <v>212</v>
      </c>
      <c r="F27" s="48" t="s">
        <v>213</v>
      </c>
      <c r="G27" s="48" t="s">
        <v>214</v>
      </c>
      <c r="H27" s="48" t="s">
        <v>215</v>
      </c>
      <c r="I27" s="48" t="s">
        <v>216</v>
      </c>
      <c r="J27" s="48" t="s">
        <v>217</v>
      </c>
      <c r="K27" s="48" t="s">
        <v>218</v>
      </c>
      <c r="L27" s="189">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 spans="1:12" s="190" customFormat="1" ht="48" x14ac:dyDescent="0.2">
      <c r="D28" s="15" t="s">
        <v>219</v>
      </c>
      <c r="E28" s="48" t="s">
        <v>220</v>
      </c>
      <c r="F28" s="48" t="s">
        <v>221</v>
      </c>
      <c r="G28" s="48" t="s">
        <v>222</v>
      </c>
      <c r="H28" s="48" t="s">
        <v>223</v>
      </c>
      <c r="I28" s="48" t="s">
        <v>216</v>
      </c>
      <c r="J28" s="48" t="s">
        <v>224</v>
      </c>
      <c r="K28" s="48" t="s">
        <v>225</v>
      </c>
      <c r="L28" s="189">
        <v>90000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 spans="1:12" s="190" customFormat="1" ht="48" x14ac:dyDescent="0.2">
      <c r="D29" s="15" t="s">
        <v>226</v>
      </c>
      <c r="E29" s="48" t="s">
        <v>227</v>
      </c>
      <c r="F29" s="48" t="s">
        <v>228</v>
      </c>
      <c r="G29" s="48" t="s">
        <v>229</v>
      </c>
      <c r="H29" s="48" t="s">
        <v>230</v>
      </c>
      <c r="I29" s="48" t="s">
        <v>231</v>
      </c>
      <c r="J29" s="48" t="s">
        <v>232</v>
      </c>
      <c r="K29" s="48" t="s">
        <v>233</v>
      </c>
      <c r="L29" s="189">
        <v>160000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 spans="1:12" s="190" customFormat="1" ht="72.5" customHeight="1" x14ac:dyDescent="0.2">
      <c r="A31" s="600" t="s">
        <v>234</v>
      </c>
      <c r="B31" s="600" t="s">
        <v>235</v>
      </c>
      <c r="C31" s="600" t="s">
        <v>236</v>
      </c>
      <c r="D31" s="15" t="s">
        <v>237</v>
      </c>
      <c r="E31" s="15" t="s">
        <v>238</v>
      </c>
      <c r="F31" s="48" t="s">
        <v>239</v>
      </c>
      <c r="G31" s="48" t="s">
        <v>240</v>
      </c>
      <c r="H31" s="48" t="s">
        <v>241</v>
      </c>
      <c r="I31" s="48" t="s">
        <v>242</v>
      </c>
      <c r="J31" s="48" t="s">
        <v>243</v>
      </c>
      <c r="K31" s="48" t="s">
        <v>244</v>
      </c>
      <c r="L31" s="189">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 spans="1:12" s="190" customFormat="1" ht="72.5" customHeight="1" x14ac:dyDescent="0.2">
      <c r="D32" s="15" t="s">
        <v>245</v>
      </c>
      <c r="E32" s="15" t="s">
        <v>246</v>
      </c>
      <c r="F32" s="48" t="s">
        <v>247</v>
      </c>
      <c r="G32" s="48" t="s">
        <v>248</v>
      </c>
      <c r="H32" s="48" t="s">
        <v>249</v>
      </c>
      <c r="I32" s="48" t="s">
        <v>250</v>
      </c>
      <c r="J32" s="48" t="s">
        <v>251</v>
      </c>
      <c r="K32" s="48" t="s">
        <v>252</v>
      </c>
      <c r="L32" s="189">
        <v>200000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 spans="1:12" s="190" customFormat="1" ht="112.5" customHeight="1" x14ac:dyDescent="0.2">
      <c r="B33" s="600" t="s">
        <v>253</v>
      </c>
      <c r="C33" s="600" t="s">
        <v>254</v>
      </c>
      <c r="D33" s="15" t="s">
        <v>255</v>
      </c>
      <c r="E33" s="15" t="s">
        <v>256</v>
      </c>
      <c r="F33" s="48" t="s">
        <v>257</v>
      </c>
      <c r="G33" s="48" t="s">
        <v>258</v>
      </c>
      <c r="H33" s="48" t="s">
        <v>259</v>
      </c>
      <c r="I33" s="48" t="s">
        <v>260</v>
      </c>
      <c r="J33" s="48" t="s">
        <v>261</v>
      </c>
      <c r="K33" s="48" t="s">
        <v>262</v>
      </c>
      <c r="L33" s="189">
        <v>80000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 spans="1:12" s="190" customFormat="1" ht="58" customHeight="1" x14ac:dyDescent="0.2">
      <c r="D34" s="15" t="s">
        <v>263</v>
      </c>
      <c r="E34" s="15" t="s">
        <v>264</v>
      </c>
      <c r="F34" s="48" t="s">
        <v>265</v>
      </c>
      <c r="G34" s="48" t="s">
        <v>266</v>
      </c>
      <c r="H34" s="48" t="s">
        <v>267</v>
      </c>
      <c r="I34" s="48" t="s">
        <v>268</v>
      </c>
      <c r="J34" s="48" t="s">
        <v>269</v>
      </c>
      <c r="K34" s="48" t="s">
        <v>270</v>
      </c>
      <c r="L34" s="189">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 spans="1:12" s="190" customFormat="1" ht="58" customHeight="1" x14ac:dyDescent="0.2">
      <c r="B35" s="600" t="s">
        <v>271</v>
      </c>
      <c r="C35" s="600" t="s">
        <v>272</v>
      </c>
      <c r="D35" s="15" t="s">
        <v>273</v>
      </c>
      <c r="E35" s="15" t="s">
        <v>274</v>
      </c>
      <c r="F35" s="48" t="s">
        <v>275</v>
      </c>
      <c r="G35" s="48" t="s">
        <v>276</v>
      </c>
      <c r="H35" s="48" t="s">
        <v>277</v>
      </c>
      <c r="I35" s="48" t="s">
        <v>278</v>
      </c>
      <c r="J35" s="48" t="s">
        <v>279</v>
      </c>
      <c r="K35" s="48" t="s">
        <v>280</v>
      </c>
      <c r="L35" s="189">
        <v>120000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 spans="1:12" s="190" customFormat="1" ht="72.5" customHeight="1" x14ac:dyDescent="0.2">
      <c r="D36" s="15" t="s">
        <v>281</v>
      </c>
      <c r="E36" s="15" t="s">
        <v>282</v>
      </c>
      <c r="F36" s="48" t="s">
        <v>283</v>
      </c>
      <c r="G36" s="48" t="s">
        <v>284</v>
      </c>
      <c r="H36" s="48" t="s">
        <v>285</v>
      </c>
      <c r="I36" s="48" t="s">
        <v>286</v>
      </c>
      <c r="J36" s="48" t="s">
        <v>287</v>
      </c>
      <c r="K36" s="48" t="s">
        <v>288</v>
      </c>
      <c r="L36" s="189">
        <v>90000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 spans="1:12" s="190" customFormat="1" ht="72.5" customHeight="1" x14ac:dyDescent="0.2">
      <c r="B37" s="600" t="s">
        <v>289</v>
      </c>
      <c r="C37" s="600" t="s">
        <v>290</v>
      </c>
      <c r="D37" s="15" t="s">
        <v>291</v>
      </c>
      <c r="E37" s="15" t="s">
        <v>292</v>
      </c>
      <c r="F37" s="48" t="s">
        <v>293</v>
      </c>
      <c r="G37" s="48" t="s">
        <v>294</v>
      </c>
      <c r="H37" s="48" t="s">
        <v>295</v>
      </c>
      <c r="I37" s="48" t="s">
        <v>296</v>
      </c>
      <c r="J37" s="48" t="s">
        <v>297</v>
      </c>
      <c r="K37" s="48" t="s">
        <v>298</v>
      </c>
      <c r="L37" s="189">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 spans="1:12" s="190" customFormat="1" ht="72.5" customHeight="1" x14ac:dyDescent="0.2">
      <c r="D38" s="15" t="s">
        <v>299</v>
      </c>
      <c r="E38" s="15" t="s">
        <v>300</v>
      </c>
      <c r="F38" s="48" t="s">
        <v>301</v>
      </c>
      <c r="G38" s="48" t="s">
        <v>302</v>
      </c>
      <c r="H38" s="48" t="s">
        <v>303</v>
      </c>
      <c r="I38" s="48" t="s">
        <v>304</v>
      </c>
      <c r="J38" s="48" t="s">
        <v>305</v>
      </c>
      <c r="K38" s="48" t="s">
        <v>306</v>
      </c>
      <c r="L38" s="189">
        <v>80000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9" spans="1:12" s="190" customFormat="1" ht="72.5" customHeight="1" x14ac:dyDescent="0.2">
      <c r="B39" s="600" t="s">
        <v>307</v>
      </c>
      <c r="C39" s="600" t="s">
        <v>308</v>
      </c>
      <c r="D39" s="15" t="s">
        <v>309</v>
      </c>
      <c r="E39" s="15" t="s">
        <v>310</v>
      </c>
      <c r="F39" s="48" t="s">
        <v>311</v>
      </c>
      <c r="G39" s="48" t="s">
        <v>312</v>
      </c>
      <c r="H39" s="48" t="s">
        <v>313</v>
      </c>
      <c r="I39" s="48" t="s">
        <v>314</v>
      </c>
      <c r="J39" s="48" t="s">
        <v>315</v>
      </c>
      <c r="K39" s="48" t="s">
        <v>316</v>
      </c>
      <c r="L39" s="189">
        <v>120000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0" spans="1:12" s="190" customFormat="1" ht="109.5" customHeight="1" x14ac:dyDescent="0.2">
      <c r="D40" s="15" t="s">
        <v>317</v>
      </c>
      <c r="E40" s="15" t="s">
        <v>318</v>
      </c>
      <c r="F40" s="48" t="s">
        <v>319</v>
      </c>
      <c r="G40" s="48" t="s">
        <v>320</v>
      </c>
      <c r="H40" s="48" t="s">
        <v>321</v>
      </c>
      <c r="I40" s="48" t="s">
        <v>322</v>
      </c>
      <c r="J40" s="48" t="s">
        <v>323</v>
      </c>
      <c r="K40" s="48" t="s">
        <v>324</v>
      </c>
      <c r="L40" s="189">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2" spans="1:12" s="190" customFormat="1" ht="34.5" customHeight="1" x14ac:dyDescent="0.2">
      <c r="A42" s="602" t="s">
        <v>325</v>
      </c>
      <c r="B42" s="602" t="s">
        <v>326</v>
      </c>
      <c r="C42" s="601" t="s">
        <v>327</v>
      </c>
      <c r="D42" s="196" t="s">
        <v>328</v>
      </c>
      <c r="E42" s="197" t="s">
        <v>329</v>
      </c>
      <c r="F42" s="197" t="s">
        <v>330</v>
      </c>
      <c r="G42" s="48" t="s">
        <v>331</v>
      </c>
      <c r="H42" s="198" t="s">
        <v>332</v>
      </c>
      <c r="I42" s="48" t="s">
        <v>333</v>
      </c>
      <c r="J42" s="48" t="s">
        <v>334</v>
      </c>
      <c r="K42" s="54" t="s">
        <v>335</v>
      </c>
      <c r="L42" s="465">
        <v>200000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3" spans="1:12" s="190" customFormat="1" ht="32" x14ac:dyDescent="0.2">
      <c r="D43" s="199" t="s">
        <v>336</v>
      </c>
      <c r="E43" s="197" t="s">
        <v>337</v>
      </c>
      <c r="F43" s="197" t="s">
        <v>338</v>
      </c>
      <c r="G43" s="48" t="s">
        <v>339</v>
      </c>
      <c r="H43" s="198" t="s">
        <v>340</v>
      </c>
      <c r="I43" s="48" t="s">
        <v>341</v>
      </c>
      <c r="J43" s="48" t="s">
        <v>342</v>
      </c>
      <c r="K43" s="54" t="s">
        <v>335</v>
      </c>
      <c r="L43" s="465">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4" spans="1:12" s="190" customFormat="1" ht="49.5" customHeight="1" x14ac:dyDescent="0.2">
      <c r="D44" s="199" t="s">
        <v>343</v>
      </c>
      <c r="E44" s="195" t="s">
        <v>344</v>
      </c>
      <c r="F44" s="197" t="s">
        <v>345</v>
      </c>
      <c r="G44" s="48" t="s">
        <v>346</v>
      </c>
      <c r="H44" s="198" t="s">
        <v>347</v>
      </c>
      <c r="I44" s="48" t="s">
        <v>348</v>
      </c>
      <c r="J44" s="48" t="s">
        <v>349</v>
      </c>
      <c r="K44" s="54" t="s">
        <v>350</v>
      </c>
      <c r="L44" s="465">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5" spans="1:12" s="190" customFormat="1" ht="40.5" customHeight="1" x14ac:dyDescent="0.2">
      <c r="B45" s="602" t="s">
        <v>351</v>
      </c>
      <c r="C45" s="601" t="s">
        <v>352</v>
      </c>
      <c r="D45" s="196" t="s">
        <v>353</v>
      </c>
      <c r="E45" s="197" t="s">
        <v>354</v>
      </c>
      <c r="F45" s="197" t="s">
        <v>355</v>
      </c>
      <c r="G45" s="48" t="s">
        <v>356</v>
      </c>
      <c r="H45" s="198" t="s">
        <v>357</v>
      </c>
      <c r="I45" s="48" t="s">
        <v>358</v>
      </c>
      <c r="J45" s="48" t="s">
        <v>359</v>
      </c>
      <c r="K45" s="54" t="s">
        <v>335</v>
      </c>
      <c r="L45" s="465">
        <v>250000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6" spans="1:12" s="190" customFormat="1" ht="36.75" customHeight="1" x14ac:dyDescent="0.2">
      <c r="D46" s="199" t="s">
        <v>360</v>
      </c>
      <c r="E46" s="197" t="s">
        <v>361</v>
      </c>
      <c r="F46" s="197" t="s">
        <v>362</v>
      </c>
      <c r="G46" s="48" t="s">
        <v>346</v>
      </c>
      <c r="H46" s="198" t="s">
        <v>363</v>
      </c>
      <c r="I46" s="48" t="s">
        <v>364</v>
      </c>
      <c r="J46" s="48" t="s">
        <v>365</v>
      </c>
      <c r="K46" s="54" t="s">
        <v>335</v>
      </c>
      <c r="L46" s="465">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7" spans="1:12" s="190" customFormat="1" ht="45" customHeight="1" x14ac:dyDescent="0.2">
      <c r="D47" s="201" t="s">
        <v>366</v>
      </c>
      <c r="E47" s="197" t="s">
        <v>367</v>
      </c>
      <c r="F47" s="197" t="s">
        <v>368</v>
      </c>
      <c r="G47" s="48" t="s">
        <v>369</v>
      </c>
      <c r="H47" s="198" t="s">
        <v>370</v>
      </c>
      <c r="I47" s="48" t="s">
        <v>371</v>
      </c>
      <c r="J47" s="48" t="s">
        <v>372</v>
      </c>
      <c r="K47" s="54" t="s">
        <v>335</v>
      </c>
      <c r="L47" s="465">
        <v>500000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8" spans="1:12" s="190" customFormat="1" ht="42" customHeight="1" x14ac:dyDescent="0.2">
      <c r="B48" s="603" t="s">
        <v>373</v>
      </c>
      <c r="C48" s="606" t="s">
        <v>374</v>
      </c>
      <c r="D48" s="199" t="s">
        <v>375</v>
      </c>
      <c r="E48" s="200" t="s">
        <v>376</v>
      </c>
      <c r="F48" s="197" t="s">
        <v>377</v>
      </c>
      <c r="G48" s="48" t="s">
        <v>378</v>
      </c>
      <c r="H48" s="198" t="s">
        <v>379</v>
      </c>
      <c r="I48" s="48" t="s">
        <v>380</v>
      </c>
      <c r="J48" s="48" t="s">
        <v>381</v>
      </c>
      <c r="K48" s="54" t="s">
        <v>382</v>
      </c>
      <c r="L48" s="465">
        <v>400000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9" spans="1:12" s="190" customFormat="1" ht="34.5" customHeight="1" x14ac:dyDescent="0.2">
      <c r="D49" s="199" t="s">
        <v>383</v>
      </c>
      <c r="E49" s="197" t="s">
        <v>384</v>
      </c>
      <c r="F49" s="197" t="s">
        <v>385</v>
      </c>
      <c r="G49" s="48" t="s">
        <v>386</v>
      </c>
      <c r="H49" s="198" t="s">
        <v>387</v>
      </c>
      <c r="I49" s="48" t="s">
        <v>388</v>
      </c>
      <c r="J49" s="48" t="s">
        <v>389</v>
      </c>
      <c r="K49" s="54" t="s">
        <v>335</v>
      </c>
      <c r="L49" s="465">
        <v>350000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0" spans="1:12" s="190" customFormat="1" ht="27.75" customHeight="1" x14ac:dyDescent="0.2">
      <c r="D50" s="199" t="s">
        <v>390</v>
      </c>
      <c r="E50" s="197" t="s">
        <v>391</v>
      </c>
      <c r="F50" s="197" t="s">
        <v>392</v>
      </c>
      <c r="G50" s="48" t="s">
        <v>393</v>
      </c>
      <c r="H50" s="198" t="s">
        <v>394</v>
      </c>
      <c r="I50" s="48" t="s">
        <v>395</v>
      </c>
      <c r="J50" s="48" t="s">
        <v>396</v>
      </c>
      <c r="K50" s="54" t="s">
        <v>397</v>
      </c>
      <c r="L50" s="465">
        <v>200000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1" spans="1:12" s="190" customFormat="1" ht="40.5" customHeight="1" x14ac:dyDescent="0.2">
      <c r="D51" s="199" t="s">
        <v>398</v>
      </c>
      <c r="E51" s="197" t="s">
        <v>399</v>
      </c>
      <c r="F51" s="197" t="s">
        <v>400</v>
      </c>
      <c r="G51" s="48" t="s">
        <v>401</v>
      </c>
      <c r="H51" s="198" t="s">
        <v>402</v>
      </c>
      <c r="I51" s="48" t="s">
        <v>403</v>
      </c>
      <c r="J51" s="48" t="s">
        <v>404</v>
      </c>
      <c r="K51" s="54" t="s">
        <v>335</v>
      </c>
      <c r="L51" s="465">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2" spans="1:12" s="190" customFormat="1" ht="33.75" customHeight="1" x14ac:dyDescent="0.2">
      <c r="B52" s="602" t="s">
        <v>405</v>
      </c>
      <c r="C52" s="601" t="s">
        <v>406</v>
      </c>
      <c r="D52" s="196" t="s">
        <v>407</v>
      </c>
      <c r="E52" s="197" t="s">
        <v>408</v>
      </c>
      <c r="F52" s="200" t="s">
        <v>409</v>
      </c>
      <c r="G52" s="48" t="s">
        <v>410</v>
      </c>
      <c r="H52" s="198" t="s">
        <v>411</v>
      </c>
      <c r="I52" s="48" t="s">
        <v>395</v>
      </c>
      <c r="J52" s="48" t="s">
        <v>412</v>
      </c>
      <c r="K52" s="54" t="s">
        <v>335</v>
      </c>
      <c r="L52" s="465">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3" spans="1:12" s="190" customFormat="1" ht="28.5" customHeight="1" x14ac:dyDescent="0.2">
      <c r="D53" s="199" t="s">
        <v>413</v>
      </c>
      <c r="E53" s="197" t="s">
        <v>414</v>
      </c>
      <c r="F53" s="197" t="s">
        <v>415</v>
      </c>
      <c r="G53" s="48" t="s">
        <v>416</v>
      </c>
      <c r="H53" s="198" t="s">
        <v>417</v>
      </c>
      <c r="I53" s="48" t="s">
        <v>395</v>
      </c>
      <c r="J53" s="48" t="s">
        <v>418</v>
      </c>
      <c r="K53" s="54" t="s">
        <v>335</v>
      </c>
      <c r="L53" s="465">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4" spans="1:12" s="190" customFormat="1" ht="50.25" customHeight="1" x14ac:dyDescent="0.2">
      <c r="D54" s="199" t="s">
        <v>419</v>
      </c>
      <c r="E54" s="197" t="s">
        <v>420</v>
      </c>
      <c r="F54" s="197" t="s">
        <v>421</v>
      </c>
      <c r="G54" s="48" t="s">
        <v>422</v>
      </c>
      <c r="H54" s="198" t="s">
        <v>423</v>
      </c>
      <c r="I54" s="48" t="s">
        <v>395</v>
      </c>
      <c r="J54" s="48" t="s">
        <v>424</v>
      </c>
      <c r="K54" s="54" t="s">
        <v>335</v>
      </c>
      <c r="L54" s="465">
        <v>500000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5" spans="1:12" s="190" customFormat="1" ht="36.75" customHeight="1" x14ac:dyDescent="0.2">
      <c r="B55" s="602" t="s">
        <v>425</v>
      </c>
      <c r="C55" s="601" t="s">
        <v>426</v>
      </c>
      <c r="D55" s="196" t="s">
        <v>427</v>
      </c>
      <c r="E55" s="197" t="s">
        <v>428</v>
      </c>
      <c r="F55" s="197" t="s">
        <v>429</v>
      </c>
      <c r="G55" s="48" t="s">
        <v>430</v>
      </c>
      <c r="H55" s="198" t="s">
        <v>431</v>
      </c>
      <c r="I55" s="48" t="s">
        <v>432</v>
      </c>
      <c r="J55" s="48" t="s">
        <v>433</v>
      </c>
      <c r="K55" s="54" t="s">
        <v>434</v>
      </c>
      <c r="L55" s="465">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6" spans="1:12" s="190" customFormat="1" ht="30.75" customHeight="1" x14ac:dyDescent="0.2">
      <c r="D56" s="199" t="s">
        <v>435</v>
      </c>
      <c r="E56" s="197" t="s">
        <v>436</v>
      </c>
      <c r="F56" s="197" t="s">
        <v>437</v>
      </c>
      <c r="G56" s="200" t="s">
        <v>438</v>
      </c>
      <c r="H56" s="197" t="s">
        <v>439</v>
      </c>
      <c r="I56" s="48" t="s">
        <v>440</v>
      </c>
      <c r="J56" s="48" t="s">
        <v>441</v>
      </c>
      <c r="K56" s="54" t="s">
        <v>442</v>
      </c>
      <c r="L56" s="465">
        <v>400000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7" spans="1:12" s="190" customFormat="1" ht="36.75" customHeight="1" x14ac:dyDescent="0.2">
      <c r="D57" s="199" t="s">
        <v>443</v>
      </c>
      <c r="E57" s="195" t="s">
        <v>444</v>
      </c>
      <c r="F57" s="197" t="s">
        <v>445</v>
      </c>
      <c r="G57" s="197" t="s">
        <v>446</v>
      </c>
      <c r="H57" s="197" t="s">
        <v>447</v>
      </c>
      <c r="I57" s="48" t="s">
        <v>448</v>
      </c>
      <c r="J57" s="48" t="s">
        <v>449</v>
      </c>
      <c r="K57" s="54" t="s">
        <v>450</v>
      </c>
      <c r="L57" s="465">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8" spans="1:12" s="190" customFormat="1" ht="53.25" customHeight="1" x14ac:dyDescent="0.2">
      <c r="D58" s="201" t="s">
        <v>451</v>
      </c>
      <c r="E58" s="197" t="s">
        <v>452</v>
      </c>
      <c r="F58" s="197" t="s">
        <v>453</v>
      </c>
      <c r="G58" s="197" t="s">
        <v>454</v>
      </c>
      <c r="H58" s="197" t="s">
        <v>455</v>
      </c>
      <c r="I58" s="48" t="s">
        <v>395</v>
      </c>
      <c r="J58" s="48" t="s">
        <v>456</v>
      </c>
      <c r="K58" s="54" t="s">
        <v>335</v>
      </c>
      <c r="L58" s="465">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0" spans="1:12" s="190" customFormat="1" ht="60" x14ac:dyDescent="0.2">
      <c r="A60" s="597" t="s">
        <v>457</v>
      </c>
      <c r="B60" s="593" t="s">
        <v>458</v>
      </c>
      <c r="C60" s="593" t="s">
        <v>459</v>
      </c>
      <c r="D60" s="34" t="s">
        <v>460</v>
      </c>
      <c r="E60" s="204" t="s">
        <v>461</v>
      </c>
      <c r="F60" s="204" t="s">
        <v>462</v>
      </c>
      <c r="G60" s="204" t="s">
        <v>463</v>
      </c>
      <c r="H60" s="204" t="s">
        <v>464</v>
      </c>
      <c r="I60" s="204" t="s">
        <v>465</v>
      </c>
      <c r="J60" s="204" t="s">
        <v>466</v>
      </c>
      <c r="K60" s="204" t="s">
        <v>467</v>
      </c>
      <c r="L60" s="205">
        <v>1000000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1" spans="1:12" s="190" customFormat="1" ht="60" x14ac:dyDescent="0.2">
      <c r="D61" s="206" t="s">
        <v>468</v>
      </c>
      <c r="E61" s="46" t="s">
        <v>469</v>
      </c>
      <c r="F61" s="207" t="s">
        <v>470</v>
      </c>
      <c r="G61" s="207" t="s">
        <v>471</v>
      </c>
      <c r="H61" s="207" t="s">
        <v>472</v>
      </c>
      <c r="I61" s="207" t="s">
        <v>465</v>
      </c>
      <c r="J61" s="207" t="s">
        <v>472</v>
      </c>
      <c r="K61" s="207" t="s">
        <v>467</v>
      </c>
      <c r="L61" s="208">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2" spans="1:12" s="190" customFormat="1" ht="46.25" customHeight="1" x14ac:dyDescent="0.2">
      <c r="B62" s="593" t="s">
        <v>473</v>
      </c>
      <c r="C62" s="593" t="s">
        <v>474</v>
      </c>
      <c r="D62" s="206" t="s">
        <v>475</v>
      </c>
      <c r="E62" s="209" t="s">
        <v>476</v>
      </c>
      <c r="F62" s="209" t="s">
        <v>477</v>
      </c>
      <c r="G62" s="209" t="s">
        <v>478</v>
      </c>
      <c r="H62" s="209" t="s">
        <v>479</v>
      </c>
      <c r="I62" s="209" t="s">
        <v>465</v>
      </c>
      <c r="J62" s="209" t="s">
        <v>479</v>
      </c>
      <c r="K62" s="209" t="s">
        <v>467</v>
      </c>
      <c r="L62" s="210">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3" spans="1:12" s="190" customFormat="1" ht="30" x14ac:dyDescent="0.2">
      <c r="D63" s="15" t="s">
        <v>480</v>
      </c>
      <c r="E63" s="46" t="s">
        <v>481</v>
      </c>
      <c r="F63" s="207" t="s">
        <v>482</v>
      </c>
      <c r="G63" s="207" t="s">
        <v>483</v>
      </c>
      <c r="H63" s="207" t="s">
        <v>484</v>
      </c>
      <c r="I63" s="207" t="s">
        <v>465</v>
      </c>
      <c r="J63" s="207" t="s">
        <v>484</v>
      </c>
      <c r="K63" s="207" t="s">
        <v>467</v>
      </c>
      <c r="L63" s="208">
        <v>200000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4" spans="1:12" s="190" customFormat="1" ht="43.5" customHeight="1" x14ac:dyDescent="0.2">
      <c r="B64" s="595" t="s">
        <v>485</v>
      </c>
      <c r="C64" s="595" t="s">
        <v>486</v>
      </c>
      <c r="D64" s="15" t="s">
        <v>487</v>
      </c>
      <c r="E64" s="46" t="s">
        <v>488</v>
      </c>
      <c r="F64" s="207" t="s">
        <v>489</v>
      </c>
      <c r="G64" s="207" t="s">
        <v>490</v>
      </c>
      <c r="H64" s="207" t="s">
        <v>491</v>
      </c>
      <c r="I64" s="207" t="s">
        <v>465</v>
      </c>
      <c r="J64" s="207" t="s">
        <v>492</v>
      </c>
      <c r="K64" s="207" t="s">
        <v>467</v>
      </c>
      <c r="L64" s="208">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5" spans="1:12" s="190" customFormat="1" ht="30" x14ac:dyDescent="0.2">
      <c r="D65" s="15" t="s">
        <v>493</v>
      </c>
      <c r="E65" s="46" t="s">
        <v>494</v>
      </c>
      <c r="F65" s="207" t="s">
        <v>495</v>
      </c>
      <c r="G65" s="207" t="s">
        <v>496</v>
      </c>
      <c r="H65" s="207" t="s">
        <v>497</v>
      </c>
      <c r="I65" s="207" t="s">
        <v>465</v>
      </c>
      <c r="J65" s="207" t="s">
        <v>498</v>
      </c>
      <c r="K65" s="207" t="s">
        <v>467</v>
      </c>
      <c r="L65" s="208">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6" spans="1:12" s="190" customFormat="1" ht="58" customHeight="1" x14ac:dyDescent="0.2">
      <c r="B66" s="593" t="s">
        <v>499</v>
      </c>
      <c r="C66" s="593" t="s">
        <v>500</v>
      </c>
      <c r="D66" s="15" t="s">
        <v>501</v>
      </c>
      <c r="E66" s="46" t="s">
        <v>502</v>
      </c>
      <c r="F66" s="207" t="s">
        <v>503</v>
      </c>
      <c r="G66" s="207" t="s">
        <v>504</v>
      </c>
      <c r="H66" s="207" t="s">
        <v>505</v>
      </c>
      <c r="I66" s="207" t="s">
        <v>465</v>
      </c>
      <c r="J66" s="207" t="s">
        <v>505</v>
      </c>
      <c r="K66" s="207" t="s">
        <v>467</v>
      </c>
      <c r="L66" s="208">
        <v>400000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7" spans="1:12" s="190" customFormat="1" ht="30" x14ac:dyDescent="0.2">
      <c r="D67" s="15" t="s">
        <v>506</v>
      </c>
      <c r="E67" s="46" t="s">
        <v>507</v>
      </c>
      <c r="F67" s="207" t="s">
        <v>508</v>
      </c>
      <c r="G67" s="207" t="s">
        <v>509</v>
      </c>
      <c r="H67" s="207" t="s">
        <v>510</v>
      </c>
      <c r="I67" s="207" t="s">
        <v>465</v>
      </c>
      <c r="J67" s="207" t="s">
        <v>510</v>
      </c>
      <c r="K67" s="207" t="s">
        <v>467</v>
      </c>
      <c r="L67" s="208">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8" spans="1:12" s="190" customFormat="1" ht="43.5" customHeight="1" x14ac:dyDescent="0.2">
      <c r="B68" s="593" t="s">
        <v>511</v>
      </c>
      <c r="C68" s="593" t="s">
        <v>512</v>
      </c>
      <c r="D68" s="15" t="s">
        <v>513</v>
      </c>
      <c r="E68" s="46" t="s">
        <v>514</v>
      </c>
      <c r="F68" s="207" t="s">
        <v>515</v>
      </c>
      <c r="G68" s="207" t="s">
        <v>516</v>
      </c>
      <c r="H68" s="207" t="s">
        <v>517</v>
      </c>
      <c r="I68" s="207" t="s">
        <v>465</v>
      </c>
      <c r="J68" s="207" t="s">
        <v>517</v>
      </c>
      <c r="K68" s="207" t="s">
        <v>467</v>
      </c>
      <c r="L68" s="208">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9" spans="1:12" s="190" customFormat="1" ht="30" x14ac:dyDescent="0.2">
      <c r="D69" s="155" t="s">
        <v>518</v>
      </c>
      <c r="E69" s="211" t="s">
        <v>519</v>
      </c>
      <c r="F69" s="212" t="s">
        <v>520</v>
      </c>
      <c r="G69" s="212" t="s">
        <v>521</v>
      </c>
      <c r="H69" s="212" t="s">
        <v>522</v>
      </c>
      <c r="I69" s="212" t="s">
        <v>465</v>
      </c>
      <c r="J69" s="212" t="s">
        <v>522</v>
      </c>
      <c r="K69" s="212" t="s">
        <v>467</v>
      </c>
      <c r="L69" s="213">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1" spans="1:12" s="190" customFormat="1" ht="80" x14ac:dyDescent="0.2">
      <c r="A71" s="592" t="s">
        <v>523</v>
      </c>
      <c r="B71" s="585" t="s">
        <v>524</v>
      </c>
      <c r="C71" s="585" t="s">
        <v>525</v>
      </c>
      <c r="D71" s="155" t="s">
        <v>526</v>
      </c>
      <c r="E71" s="215" t="s">
        <v>527</v>
      </c>
      <c r="F71" s="215" t="s">
        <v>528</v>
      </c>
      <c r="G71" s="215" t="s">
        <v>529</v>
      </c>
      <c r="H71" s="215" t="s">
        <v>530</v>
      </c>
      <c r="I71" s="216" t="s">
        <v>531</v>
      </c>
      <c r="J71" s="217" t="s">
        <v>532</v>
      </c>
      <c r="K71" s="589" t="s">
        <v>533</v>
      </c>
      <c r="L71" s="218">
        <v>10000000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2" spans="1:12" s="190" customFormat="1" ht="96" x14ac:dyDescent="0.2">
      <c r="D72" s="155" t="s">
        <v>534</v>
      </c>
      <c r="E72" s="215" t="s">
        <v>535</v>
      </c>
      <c r="F72" s="215" t="s">
        <v>536</v>
      </c>
      <c r="G72" s="215" t="s">
        <v>537</v>
      </c>
      <c r="H72" s="215" t="s">
        <v>538</v>
      </c>
      <c r="I72" s="216" t="s">
        <v>539</v>
      </c>
      <c r="J72" s="214" t="s">
        <v>540</v>
      </c>
      <c r="L72" s="218">
        <v>1000000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3" spans="1:12" s="190" customFormat="1" ht="80" x14ac:dyDescent="0.2">
      <c r="D73" s="155" t="s">
        <v>541</v>
      </c>
      <c r="E73" s="215" t="s">
        <v>542</v>
      </c>
      <c r="F73" s="215" t="s">
        <v>543</v>
      </c>
      <c r="G73" s="215" t="s">
        <v>544</v>
      </c>
      <c r="H73" s="215" t="s">
        <v>545</v>
      </c>
      <c r="I73" s="219" t="s">
        <v>465</v>
      </c>
      <c r="J73" s="217" t="s">
        <v>546</v>
      </c>
      <c r="K73" s="589" t="s">
        <v>540</v>
      </c>
      <c r="L73" s="218">
        <v>1000000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4" spans="1:12" s="190" customFormat="1" ht="32" x14ac:dyDescent="0.2">
      <c r="B74" s="585" t="s">
        <v>547</v>
      </c>
      <c r="C74" s="585" t="s">
        <v>548</v>
      </c>
      <c r="D74" s="155" t="s">
        <v>549</v>
      </c>
      <c r="E74" s="215" t="s">
        <v>550</v>
      </c>
      <c r="F74" s="215" t="s">
        <v>551</v>
      </c>
      <c r="G74" s="585" t="s">
        <v>552</v>
      </c>
      <c r="H74" s="215" t="s">
        <v>553</v>
      </c>
      <c r="I74" s="219" t="s">
        <v>465</v>
      </c>
      <c r="J74" s="217" t="s">
        <v>554</v>
      </c>
      <c r="L74" s="218">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5" spans="1:12" s="190" customFormat="1" ht="64" x14ac:dyDescent="0.2">
      <c r="D75" s="155" t="s">
        <v>555</v>
      </c>
      <c r="E75" s="215" t="s">
        <v>556</v>
      </c>
      <c r="F75" s="215" t="s">
        <v>557</v>
      </c>
      <c r="H75" s="215" t="s">
        <v>558</v>
      </c>
      <c r="I75" s="219" t="s">
        <v>465</v>
      </c>
      <c r="J75" s="217" t="s">
        <v>559</v>
      </c>
      <c r="L75" s="218">
        <v>250000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6" spans="1:12" s="190" customFormat="1" ht="64" x14ac:dyDescent="0.2">
      <c r="B76" s="585" t="s">
        <v>560</v>
      </c>
      <c r="C76" s="585" t="s">
        <v>561</v>
      </c>
      <c r="D76" s="155" t="s">
        <v>562</v>
      </c>
      <c r="E76" s="215" t="s">
        <v>563</v>
      </c>
      <c r="F76" s="215" t="s">
        <v>564</v>
      </c>
      <c r="G76" s="215" t="s">
        <v>565</v>
      </c>
      <c r="H76" s="215" t="s">
        <v>566</v>
      </c>
      <c r="I76" s="219" t="s">
        <v>465</v>
      </c>
      <c r="J76" s="217" t="s">
        <v>554</v>
      </c>
      <c r="L76" s="218">
        <v>500000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7" spans="1:12" s="190" customFormat="1" ht="64" x14ac:dyDescent="0.2">
      <c r="D77" s="155" t="s">
        <v>567</v>
      </c>
      <c r="E77" s="215" t="s">
        <v>568</v>
      </c>
      <c r="F77" s="215" t="s">
        <v>569</v>
      </c>
      <c r="G77" s="215" t="s">
        <v>570</v>
      </c>
      <c r="H77" s="215" t="s">
        <v>571</v>
      </c>
      <c r="I77" s="219" t="s">
        <v>465</v>
      </c>
      <c r="J77" s="217" t="s">
        <v>572</v>
      </c>
      <c r="L77" s="218">
        <v>1500000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8" spans="1:12" s="190" customFormat="1" ht="64" x14ac:dyDescent="0.2">
      <c r="B78" s="585" t="s">
        <v>573</v>
      </c>
      <c r="C78" s="585" t="s">
        <v>574</v>
      </c>
      <c r="D78" s="155" t="s">
        <v>575</v>
      </c>
      <c r="E78" s="215" t="s">
        <v>576</v>
      </c>
      <c r="F78" s="215" t="s">
        <v>577</v>
      </c>
      <c r="G78" s="585" t="s">
        <v>578</v>
      </c>
      <c r="H78" s="215" t="s">
        <v>579</v>
      </c>
      <c r="I78" s="219" t="s">
        <v>465</v>
      </c>
      <c r="J78" s="586" t="s">
        <v>580</v>
      </c>
      <c r="L78" s="218">
        <v>5000000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9" spans="1:12" s="190" customFormat="1" ht="32" x14ac:dyDescent="0.2">
      <c r="D79" s="155" t="s">
        <v>581</v>
      </c>
      <c r="E79" s="215" t="s">
        <v>582</v>
      </c>
      <c r="F79" s="215" t="s">
        <v>583</v>
      </c>
      <c r="H79" s="215" t="s">
        <v>584</v>
      </c>
      <c r="I79" s="219" t="s">
        <v>465</v>
      </c>
      <c r="L79" s="218">
        <v>10000000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0" spans="1:12" s="190" customFormat="1" ht="32" x14ac:dyDescent="0.2">
      <c r="D80" s="155" t="s">
        <v>585</v>
      </c>
      <c r="E80" s="215" t="s">
        <v>586</v>
      </c>
      <c r="F80" s="215" t="s">
        <v>587</v>
      </c>
      <c r="H80" s="215" t="s">
        <v>588</v>
      </c>
      <c r="I80" s="219" t="s">
        <v>465</v>
      </c>
      <c r="L80" s="218">
        <v>1000000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1" spans="1:12" s="190" customFormat="1" ht="80" x14ac:dyDescent="0.2">
      <c r="B81" s="585" t="s">
        <v>589</v>
      </c>
      <c r="C81" s="585" t="s">
        <v>590</v>
      </c>
      <c r="D81" s="155" t="s">
        <v>591</v>
      </c>
      <c r="E81" s="215" t="s">
        <v>592</v>
      </c>
      <c r="F81" s="215" t="s">
        <v>593</v>
      </c>
      <c r="G81" s="585" t="s">
        <v>594</v>
      </c>
      <c r="H81" s="215" t="s">
        <v>595</v>
      </c>
      <c r="I81" s="216" t="s">
        <v>539</v>
      </c>
      <c r="J81" s="217" t="s">
        <v>596</v>
      </c>
      <c r="L81" s="218">
        <v>2000000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2" spans="1:12" s="190" customFormat="1" ht="80" x14ac:dyDescent="0.2">
      <c r="D82" s="155" t="s">
        <v>597</v>
      </c>
      <c r="E82" s="215" t="s">
        <v>598</v>
      </c>
      <c r="F82" s="215" t="s">
        <v>599</v>
      </c>
      <c r="H82" s="215" t="s">
        <v>600</v>
      </c>
      <c r="I82" s="219" t="s">
        <v>465</v>
      </c>
      <c r="J82" s="217" t="s">
        <v>601</v>
      </c>
      <c r="L82" s="218">
        <v>500000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4" spans="1:12" s="190" customFormat="1" ht="32" x14ac:dyDescent="0.2">
      <c r="A84" s="607" t="s">
        <v>602</v>
      </c>
      <c r="B84" s="610" t="s">
        <v>603</v>
      </c>
      <c r="C84" s="607" t="s">
        <v>604</v>
      </c>
      <c r="D84" s="221" t="s">
        <v>605</v>
      </c>
      <c r="E84" s="221" t="s">
        <v>606</v>
      </c>
      <c r="F84" s="221" t="s">
        <v>607</v>
      </c>
      <c r="G84" s="15" t="s">
        <v>608</v>
      </c>
      <c r="H84" s="221" t="s">
        <v>609</v>
      </c>
      <c r="I84" s="221" t="s">
        <v>465</v>
      </c>
      <c r="J84" s="221" t="s">
        <v>610</v>
      </c>
      <c r="K84" s="221" t="s">
        <v>611</v>
      </c>
      <c r="L84" s="466">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5" spans="1:12" s="190" customFormat="1" ht="32" x14ac:dyDescent="0.2">
      <c r="D85" s="221" t="s">
        <v>612</v>
      </c>
      <c r="E85" s="221" t="s">
        <v>613</v>
      </c>
      <c r="F85" s="221" t="s">
        <v>614</v>
      </c>
      <c r="G85" s="15" t="s">
        <v>615</v>
      </c>
      <c r="H85" s="221" t="s">
        <v>616</v>
      </c>
      <c r="I85" s="221" t="s">
        <v>465</v>
      </c>
      <c r="J85" s="221" t="s">
        <v>617</v>
      </c>
      <c r="K85" s="221" t="s">
        <v>611</v>
      </c>
      <c r="L85" s="466">
        <v>250000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6" spans="1:12" s="190" customFormat="1" ht="81.75" customHeight="1" x14ac:dyDescent="0.2">
      <c r="D86" s="224" t="s">
        <v>618</v>
      </c>
      <c r="E86" s="224" t="s">
        <v>619</v>
      </c>
      <c r="F86" s="224" t="s">
        <v>620</v>
      </c>
      <c r="G86" s="155" t="s">
        <v>621</v>
      </c>
      <c r="H86" s="221" t="s">
        <v>622</v>
      </c>
      <c r="I86" s="221" t="s">
        <v>465</v>
      </c>
      <c r="J86" s="221" t="s">
        <v>623</v>
      </c>
      <c r="K86" s="221" t="s">
        <v>611</v>
      </c>
      <c r="L86" s="466">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7" spans="1:12" s="190" customFormat="1" ht="32" x14ac:dyDescent="0.2">
      <c r="B87" s="610" t="s">
        <v>624</v>
      </c>
      <c r="C87" s="607" t="s">
        <v>625</v>
      </c>
      <c r="D87" s="221" t="s">
        <v>626</v>
      </c>
      <c r="E87" s="221" t="s">
        <v>627</v>
      </c>
      <c r="F87" s="221" t="s">
        <v>628</v>
      </c>
      <c r="G87" s="15" t="s">
        <v>629</v>
      </c>
      <c r="H87" s="225" t="s">
        <v>630</v>
      </c>
      <c r="I87" s="221" t="s">
        <v>465</v>
      </c>
      <c r="J87" s="221" t="s">
        <v>631</v>
      </c>
      <c r="K87" s="221" t="s">
        <v>611</v>
      </c>
      <c r="L87" s="466">
        <v>120000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8" spans="1:12" s="190" customFormat="1" ht="48" x14ac:dyDescent="0.2">
      <c r="D88" s="221" t="s">
        <v>632</v>
      </c>
      <c r="E88" s="221" t="s">
        <v>633</v>
      </c>
      <c r="F88" s="221" t="s">
        <v>634</v>
      </c>
      <c r="G88" s="15" t="s">
        <v>635</v>
      </c>
      <c r="H88" s="225" t="s">
        <v>636</v>
      </c>
      <c r="I88" s="221" t="s">
        <v>465</v>
      </c>
      <c r="J88" s="221" t="s">
        <v>637</v>
      </c>
      <c r="K88" s="221" t="s">
        <v>638</v>
      </c>
      <c r="L88" s="466">
        <v>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9" spans="1:12" s="190" customFormat="1" ht="72.75" customHeight="1" x14ac:dyDescent="0.2">
      <c r="D89" s="221" t="s">
        <v>639</v>
      </c>
      <c r="E89" s="221" t="s">
        <v>640</v>
      </c>
      <c r="F89" s="221" t="s">
        <v>641</v>
      </c>
      <c r="G89" s="15" t="s">
        <v>642</v>
      </c>
      <c r="H89" s="225" t="s">
        <v>643</v>
      </c>
      <c r="I89" s="221" t="s">
        <v>465</v>
      </c>
      <c r="J89" s="221" t="s">
        <v>644</v>
      </c>
      <c r="K89" s="221" t="s">
        <v>611</v>
      </c>
      <c r="L89" s="466">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0" spans="1:12" s="190" customFormat="1" ht="48" x14ac:dyDescent="0.2">
      <c r="B90" s="610" t="s">
        <v>645</v>
      </c>
      <c r="C90" s="607" t="s">
        <v>646</v>
      </c>
      <c r="D90" s="221" t="s">
        <v>647</v>
      </c>
      <c r="E90" s="221" t="s">
        <v>648</v>
      </c>
      <c r="F90" s="221" t="s">
        <v>649</v>
      </c>
      <c r="G90" s="15" t="s">
        <v>650</v>
      </c>
      <c r="H90" s="225" t="s">
        <v>651</v>
      </c>
      <c r="I90" s="221" t="s">
        <v>465</v>
      </c>
      <c r="J90" s="221" t="s">
        <v>652</v>
      </c>
      <c r="K90" s="221" t="s">
        <v>611</v>
      </c>
      <c r="L90" s="466">
        <v>90000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1" spans="1:12" s="226" customFormat="1" ht="48" x14ac:dyDescent="0.2">
      <c r="D91" s="221" t="s">
        <v>653</v>
      </c>
      <c r="E91" s="221" t="s">
        <v>654</v>
      </c>
      <c r="F91" s="221" t="s">
        <v>655</v>
      </c>
      <c r="G91" s="15" t="s">
        <v>656</v>
      </c>
      <c r="H91" s="225" t="s">
        <v>657</v>
      </c>
      <c r="I91" s="221" t="s">
        <v>465</v>
      </c>
      <c r="J91" s="221" t="s">
        <v>658</v>
      </c>
      <c r="K91" s="221" t="s">
        <v>611</v>
      </c>
      <c r="L91" s="466">
        <v>120000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2" spans="1:12" ht="82.5" customHeight="1" x14ac:dyDescent="0.2">
      <c r="D92" s="221" t="s">
        <v>659</v>
      </c>
      <c r="E92" s="221" t="s">
        <v>660</v>
      </c>
      <c r="F92" s="221" t="s">
        <v>661</v>
      </c>
      <c r="G92" s="15" t="s">
        <v>662</v>
      </c>
      <c r="H92" s="225" t="s">
        <v>663</v>
      </c>
      <c r="I92" s="221" t="s">
        <v>465</v>
      </c>
      <c r="J92" s="221" t="s">
        <v>664</v>
      </c>
      <c r="K92" s="221" t="s">
        <v>611</v>
      </c>
      <c r="L92" s="466">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3" spans="1:12" ht="48" x14ac:dyDescent="0.2">
      <c r="B93" s="610" t="s">
        <v>665</v>
      </c>
      <c r="C93" s="607" t="s">
        <v>666</v>
      </c>
      <c r="D93" s="221" t="s">
        <v>667</v>
      </c>
      <c r="E93" s="221" t="s">
        <v>376</v>
      </c>
      <c r="F93" s="221" t="s">
        <v>668</v>
      </c>
      <c r="G93" s="15" t="s">
        <v>669</v>
      </c>
      <c r="H93" s="225" t="s">
        <v>670</v>
      </c>
      <c r="I93" s="221" t="s">
        <v>465</v>
      </c>
      <c r="J93" s="221" t="s">
        <v>671</v>
      </c>
      <c r="K93" s="221" t="s">
        <v>611</v>
      </c>
      <c r="L93" s="466">
        <v>60000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4" spans="1:12" ht="48" x14ac:dyDescent="0.2">
      <c r="D94" s="221" t="s">
        <v>672</v>
      </c>
      <c r="E94" s="221" t="s">
        <v>673</v>
      </c>
      <c r="F94" s="221" t="s">
        <v>674</v>
      </c>
      <c r="G94" s="15" t="s">
        <v>675</v>
      </c>
      <c r="H94" s="225" t="s">
        <v>676</v>
      </c>
      <c r="I94" s="221" t="s">
        <v>465</v>
      </c>
      <c r="J94" s="221" t="s">
        <v>677</v>
      </c>
      <c r="K94" s="221" t="s">
        <v>611</v>
      </c>
      <c r="L94" s="466">
        <v>70000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5" spans="1:12" ht="84" customHeight="1" x14ac:dyDescent="0.2">
      <c r="D95" s="221" t="s">
        <v>678</v>
      </c>
      <c r="E95" s="221" t="s">
        <v>384</v>
      </c>
      <c r="F95" s="221" t="s">
        <v>679</v>
      </c>
      <c r="G95" s="15" t="s">
        <v>680</v>
      </c>
      <c r="H95" s="225" t="s">
        <v>681</v>
      </c>
      <c r="I95" s="221" t="s">
        <v>465</v>
      </c>
      <c r="J95" s="221" t="s">
        <v>682</v>
      </c>
      <c r="K95" s="221" t="s">
        <v>611</v>
      </c>
      <c r="L95" s="466">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6" spans="1:12" ht="48" x14ac:dyDescent="0.2">
      <c r="B96" s="610" t="s">
        <v>683</v>
      </c>
      <c r="C96" s="607" t="s">
        <v>684</v>
      </c>
      <c r="D96" s="221" t="s">
        <v>685</v>
      </c>
      <c r="E96" s="221" t="s">
        <v>686</v>
      </c>
      <c r="F96" s="221" t="s">
        <v>687</v>
      </c>
      <c r="G96" s="15" t="s">
        <v>688</v>
      </c>
      <c r="H96" s="225" t="s">
        <v>689</v>
      </c>
      <c r="I96" s="221" t="s">
        <v>465</v>
      </c>
      <c r="J96" s="221" t="s">
        <v>690</v>
      </c>
      <c r="K96" s="221" t="s">
        <v>611</v>
      </c>
      <c r="L96" s="466">
        <v>200000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7" spans="1:12" ht="48" x14ac:dyDescent="0.2">
      <c r="D97" s="221" t="s">
        <v>691</v>
      </c>
      <c r="E97" s="221" t="s">
        <v>692</v>
      </c>
      <c r="F97" s="221" t="s">
        <v>693</v>
      </c>
      <c r="G97" s="15" t="s">
        <v>694</v>
      </c>
      <c r="H97" s="225" t="s">
        <v>695</v>
      </c>
      <c r="I97" s="221" t="s">
        <v>465</v>
      </c>
      <c r="J97" s="221" t="s">
        <v>696</v>
      </c>
      <c r="K97" s="221" t="s">
        <v>611</v>
      </c>
      <c r="L97" s="466">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8" spans="1:12" ht="48" x14ac:dyDescent="0.2">
      <c r="D98" s="221" t="s">
        <v>697</v>
      </c>
      <c r="E98" s="221" t="s">
        <v>698</v>
      </c>
      <c r="F98" s="221" t="s">
        <v>699</v>
      </c>
      <c r="G98" s="15" t="s">
        <v>700</v>
      </c>
      <c r="H98" s="225" t="s">
        <v>701</v>
      </c>
      <c r="I98" s="221" t="s">
        <v>465</v>
      </c>
      <c r="J98" s="221" t="s">
        <v>702</v>
      </c>
      <c r="K98" s="221" t="s">
        <v>611</v>
      </c>
      <c r="L98" s="466">
        <v>160000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9" spans="1:12" ht="48" x14ac:dyDescent="0.2">
      <c r="D99" s="221" t="s">
        <v>703</v>
      </c>
      <c r="E99" s="221" t="s">
        <v>384</v>
      </c>
      <c r="F99" s="221" t="s">
        <v>704</v>
      </c>
      <c r="G99" s="15" t="s">
        <v>705</v>
      </c>
      <c r="H99" s="225" t="s">
        <v>706</v>
      </c>
      <c r="I99" s="221" t="s">
        <v>465</v>
      </c>
      <c r="J99" s="221" t="s">
        <v>707</v>
      </c>
      <c r="K99" s="221" t="s">
        <v>611</v>
      </c>
      <c r="L99" s="466">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1" spans="1:12" ht="33.75" customHeight="1" x14ac:dyDescent="0.2">
      <c r="A101" s="613" t="s">
        <v>708</v>
      </c>
      <c r="B101" s="614" t="s">
        <v>709</v>
      </c>
      <c r="C101" s="613" t="s">
        <v>710</v>
      </c>
      <c r="D101" s="246" t="s">
        <v>711</v>
      </c>
      <c r="E101" s="246" t="s">
        <v>712</v>
      </c>
      <c r="F101" s="246" t="s">
        <v>713</v>
      </c>
      <c r="G101" s="243" t="s">
        <v>714</v>
      </c>
      <c r="H101" s="246" t="s">
        <v>715</v>
      </c>
      <c r="I101" s="244" t="s">
        <v>465</v>
      </c>
      <c r="J101" s="244" t="s">
        <v>716</v>
      </c>
      <c r="K101" s="244" t="s">
        <v>717</v>
      </c>
      <c r="L101" s="247">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2" spans="1:12" ht="32" x14ac:dyDescent="0.2">
      <c r="D102" s="246" t="s">
        <v>718</v>
      </c>
      <c r="E102" s="246" t="s">
        <v>719</v>
      </c>
      <c r="F102" s="244" t="s">
        <v>720</v>
      </c>
      <c r="G102" s="244" t="s">
        <v>721</v>
      </c>
      <c r="H102" s="244" t="s">
        <v>722</v>
      </c>
      <c r="I102" s="244" t="s">
        <v>465</v>
      </c>
      <c r="J102" s="244" t="s">
        <v>723</v>
      </c>
      <c r="K102" s="244" t="s">
        <v>724</v>
      </c>
      <c r="L102" s="247">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3" spans="1:12" ht="32" x14ac:dyDescent="0.2">
      <c r="D103" s="246" t="s">
        <v>725</v>
      </c>
      <c r="E103" s="246" t="s">
        <v>726</v>
      </c>
      <c r="F103" s="246" t="s">
        <v>727</v>
      </c>
      <c r="G103" s="243" t="s">
        <v>728</v>
      </c>
      <c r="H103" s="244" t="s">
        <v>729</v>
      </c>
      <c r="I103" s="246" t="s">
        <v>465</v>
      </c>
      <c r="J103" s="244" t="s">
        <v>730</v>
      </c>
      <c r="K103" s="244" t="s">
        <v>731</v>
      </c>
      <c r="L103" s="247">
        <v>120000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4" spans="1:12" ht="30.75" customHeight="1" x14ac:dyDescent="0.2">
      <c r="B104" s="614" t="s">
        <v>732</v>
      </c>
      <c r="C104" s="613" t="s">
        <v>733</v>
      </c>
      <c r="D104" s="246" t="s">
        <v>734</v>
      </c>
      <c r="E104" s="244" t="s">
        <v>735</v>
      </c>
      <c r="F104" s="244" t="s">
        <v>736</v>
      </c>
      <c r="G104" s="244" t="s">
        <v>737</v>
      </c>
      <c r="H104" s="244" t="s">
        <v>738</v>
      </c>
      <c r="I104" s="244" t="s">
        <v>465</v>
      </c>
      <c r="J104" s="244" t="s">
        <v>739</v>
      </c>
      <c r="K104" s="244" t="s">
        <v>740</v>
      </c>
      <c r="L104" s="247">
        <v>120000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5" spans="1:12" ht="32" x14ac:dyDescent="0.2">
      <c r="D105" s="246" t="s">
        <v>741</v>
      </c>
      <c r="E105" s="244" t="s">
        <v>742</v>
      </c>
      <c r="F105" s="244" t="s">
        <v>743</v>
      </c>
      <c r="G105" s="244" t="s">
        <v>744</v>
      </c>
      <c r="H105" s="244" t="s">
        <v>745</v>
      </c>
      <c r="I105" s="246" t="s">
        <v>465</v>
      </c>
      <c r="J105" s="244" t="s">
        <v>746</v>
      </c>
      <c r="K105" s="244" t="s">
        <v>747</v>
      </c>
      <c r="L105" s="247">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6" spans="1:12" ht="32" x14ac:dyDescent="0.2">
      <c r="D106" s="246" t="s">
        <v>748</v>
      </c>
      <c r="E106" s="246" t="s">
        <v>749</v>
      </c>
      <c r="F106" s="244" t="s">
        <v>750</v>
      </c>
      <c r="G106" s="244" t="s">
        <v>751</v>
      </c>
      <c r="H106" s="244" t="s">
        <v>752</v>
      </c>
      <c r="I106" s="246" t="s">
        <v>465</v>
      </c>
      <c r="J106" s="244" t="s">
        <v>753</v>
      </c>
      <c r="K106" s="244" t="s">
        <v>754</v>
      </c>
      <c r="L106" s="247">
        <v>90000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7" spans="1:12" ht="30.75" customHeight="1" x14ac:dyDescent="0.2">
      <c r="B107" s="614" t="s">
        <v>755</v>
      </c>
      <c r="C107" s="613" t="s">
        <v>756</v>
      </c>
      <c r="D107" s="246" t="s">
        <v>757</v>
      </c>
      <c r="E107" s="246" t="s">
        <v>758</v>
      </c>
      <c r="F107" s="244" t="s">
        <v>759</v>
      </c>
      <c r="G107" s="244" t="s">
        <v>760</v>
      </c>
      <c r="H107" s="244" t="s">
        <v>761</v>
      </c>
      <c r="I107" s="246" t="s">
        <v>465</v>
      </c>
      <c r="J107" s="244" t="s">
        <v>762</v>
      </c>
      <c r="K107" s="244" t="s">
        <v>763</v>
      </c>
      <c r="L107" s="247">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8" spans="1:12" ht="32" x14ac:dyDescent="0.2">
      <c r="D108" s="246" t="s">
        <v>764</v>
      </c>
      <c r="E108" s="246" t="s">
        <v>765</v>
      </c>
      <c r="F108" s="244" t="s">
        <v>766</v>
      </c>
      <c r="G108" s="244" t="s">
        <v>767</v>
      </c>
      <c r="H108" s="244" t="s">
        <v>768</v>
      </c>
      <c r="I108" s="246" t="s">
        <v>465</v>
      </c>
      <c r="J108" s="244" t="s">
        <v>769</v>
      </c>
      <c r="K108" s="244" t="s">
        <v>770</v>
      </c>
      <c r="L108" s="247">
        <v>80000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9" spans="1:12" ht="32" x14ac:dyDescent="0.2">
      <c r="D109" s="246" t="s">
        <v>771</v>
      </c>
      <c r="E109" s="246" t="s">
        <v>772</v>
      </c>
      <c r="F109" s="244" t="s">
        <v>773</v>
      </c>
      <c r="G109" s="244" t="s">
        <v>774</v>
      </c>
      <c r="H109" s="244" t="s">
        <v>775</v>
      </c>
      <c r="I109" s="246" t="s">
        <v>465</v>
      </c>
      <c r="J109" s="244" t="s">
        <v>776</v>
      </c>
      <c r="K109" s="244" t="s">
        <v>777</v>
      </c>
      <c r="L109" s="247">
        <v>70000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0" spans="1:12" ht="30.75" customHeight="1" x14ac:dyDescent="0.2">
      <c r="B110" s="614" t="s">
        <v>778</v>
      </c>
      <c r="C110" s="613" t="s">
        <v>779</v>
      </c>
      <c r="D110" s="246" t="s">
        <v>780</v>
      </c>
      <c r="E110" s="246" t="s">
        <v>726</v>
      </c>
      <c r="F110" s="244" t="s">
        <v>781</v>
      </c>
      <c r="G110" s="244" t="s">
        <v>782</v>
      </c>
      <c r="H110" s="244" t="s">
        <v>783</v>
      </c>
      <c r="I110" s="246" t="s">
        <v>465</v>
      </c>
      <c r="J110" s="246" t="s">
        <v>784</v>
      </c>
      <c r="K110" s="244" t="s">
        <v>785</v>
      </c>
      <c r="L110" s="247">
        <v>200000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1" spans="1:12" ht="32" x14ac:dyDescent="0.2">
      <c r="D111" s="246" t="s">
        <v>786</v>
      </c>
      <c r="E111" s="246" t="s">
        <v>787</v>
      </c>
      <c r="F111" s="244" t="s">
        <v>788</v>
      </c>
      <c r="G111" s="244" t="s">
        <v>789</v>
      </c>
      <c r="H111" s="244" t="s">
        <v>790</v>
      </c>
      <c r="I111" s="246" t="s">
        <v>465</v>
      </c>
      <c r="J111" s="244" t="s">
        <v>791</v>
      </c>
      <c r="K111" s="244" t="s">
        <v>792</v>
      </c>
      <c r="L111" s="247">
        <v>180000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2" spans="1:12" ht="32" x14ac:dyDescent="0.2">
      <c r="D112" s="246" t="s">
        <v>793</v>
      </c>
      <c r="E112" s="246" t="s">
        <v>794</v>
      </c>
      <c r="F112" s="244" t="s">
        <v>795</v>
      </c>
      <c r="G112" s="244" t="s">
        <v>796</v>
      </c>
      <c r="H112" s="244" t="s">
        <v>797</v>
      </c>
      <c r="I112" s="246" t="s">
        <v>465</v>
      </c>
      <c r="J112" s="244" t="s">
        <v>798</v>
      </c>
      <c r="K112" s="244" t="s">
        <v>799</v>
      </c>
      <c r="L112" s="247">
        <v>160000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3" spans="1:12" ht="30.75" customHeight="1" x14ac:dyDescent="0.2">
      <c r="B113" s="614" t="s">
        <v>800</v>
      </c>
      <c r="C113" s="613" t="s">
        <v>801</v>
      </c>
      <c r="D113" s="246" t="s">
        <v>802</v>
      </c>
      <c r="E113" s="244" t="s">
        <v>803</v>
      </c>
      <c r="F113" s="244" t="s">
        <v>804</v>
      </c>
      <c r="G113" s="244" t="s">
        <v>805</v>
      </c>
      <c r="H113" s="246" t="s">
        <v>806</v>
      </c>
      <c r="I113" s="246" t="s">
        <v>465</v>
      </c>
      <c r="J113" s="246" t="s">
        <v>807</v>
      </c>
      <c r="K113" s="246" t="s">
        <v>808</v>
      </c>
      <c r="L113" s="468">
        <v>80000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4" spans="1:12" ht="32" x14ac:dyDescent="0.2">
      <c r="D114" s="246" t="s">
        <v>809</v>
      </c>
      <c r="E114" s="246" t="s">
        <v>810</v>
      </c>
      <c r="F114" s="246" t="s">
        <v>811</v>
      </c>
      <c r="G114" s="243" t="s">
        <v>812</v>
      </c>
      <c r="H114" s="246" t="s">
        <v>813</v>
      </c>
      <c r="I114" s="246" t="s">
        <v>465</v>
      </c>
      <c r="J114" s="246" t="s">
        <v>814</v>
      </c>
      <c r="K114" s="246" t="s">
        <v>815</v>
      </c>
      <c r="L114" s="468">
        <v>70000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5" spans="1:12" ht="32" x14ac:dyDescent="0.2">
      <c r="D115" s="246" t="s">
        <v>816</v>
      </c>
      <c r="E115" s="244" t="s">
        <v>817</v>
      </c>
      <c r="F115" s="244" t="s">
        <v>818</v>
      </c>
      <c r="G115" s="244" t="s">
        <v>819</v>
      </c>
      <c r="H115" s="244" t="s">
        <v>820</v>
      </c>
      <c r="I115" s="246" t="s">
        <v>465</v>
      </c>
      <c r="J115" s="244" t="s">
        <v>821</v>
      </c>
      <c r="K115" s="244" t="s">
        <v>822</v>
      </c>
      <c r="L115" s="247">
        <v>60000</v>
      </c>
    </row>
  </sheetData>
  <mergeCells count="94">
    <mergeCell ref="A101:A115"/>
    <mergeCell ref="B101:B103"/>
    <mergeCell ref="C101:C103"/>
    <mergeCell ref="B104:B106"/>
    <mergeCell ref="C104:C106"/>
    <mergeCell ref="B107:B109"/>
    <mergeCell ref="C107:C109"/>
    <mergeCell ref="B110:B112"/>
    <mergeCell ref="C110:C112"/>
    <mergeCell ref="B113:B115"/>
    <mergeCell ref="C113:C115"/>
    <mergeCell ref="C84:C86"/>
    <mergeCell ref="B84:B86"/>
    <mergeCell ref="A84:A99"/>
    <mergeCell ref="C87:C89"/>
    <mergeCell ref="B87:B89"/>
    <mergeCell ref="C90:C92"/>
    <mergeCell ref="B90:B92"/>
    <mergeCell ref="C93:C95"/>
    <mergeCell ref="B93:B95"/>
    <mergeCell ref="C96:C99"/>
    <mergeCell ref="B96:B99"/>
    <mergeCell ref="B55:B58"/>
    <mergeCell ref="C55:C58"/>
    <mergeCell ref="A42:A58"/>
    <mergeCell ref="C42:C44"/>
    <mergeCell ref="B45:B47"/>
    <mergeCell ref="B42:B44"/>
    <mergeCell ref="C45:C47"/>
    <mergeCell ref="B48:B51"/>
    <mergeCell ref="C48:C51"/>
    <mergeCell ref="B52:B54"/>
    <mergeCell ref="C52:C54"/>
    <mergeCell ref="C37:C38"/>
    <mergeCell ref="C39:C40"/>
    <mergeCell ref="B33:B34"/>
    <mergeCell ref="B35:B36"/>
    <mergeCell ref="B37:B38"/>
    <mergeCell ref="B39:B40"/>
    <mergeCell ref="A18:A29"/>
    <mergeCell ref="A31:A40"/>
    <mergeCell ref="B18:B19"/>
    <mergeCell ref="C18:C19"/>
    <mergeCell ref="B20:B21"/>
    <mergeCell ref="C20:C21"/>
    <mergeCell ref="B22:B24"/>
    <mergeCell ref="C22:C24"/>
    <mergeCell ref="C31:C32"/>
    <mergeCell ref="B31:B32"/>
    <mergeCell ref="C33:C34"/>
    <mergeCell ref="C35:C36"/>
    <mergeCell ref="B25:B26"/>
    <mergeCell ref="C25:C26"/>
    <mergeCell ref="B27:B29"/>
    <mergeCell ref="C27:C29"/>
    <mergeCell ref="C2:C4"/>
    <mergeCell ref="C5:C7"/>
    <mergeCell ref="C8:C10"/>
    <mergeCell ref="C11:C13"/>
    <mergeCell ref="C14:C16"/>
    <mergeCell ref="A2:A16"/>
    <mergeCell ref="B2:B4"/>
    <mergeCell ref="B5:B7"/>
    <mergeCell ref="B8:B10"/>
    <mergeCell ref="B11:B13"/>
    <mergeCell ref="B14:B16"/>
    <mergeCell ref="B66:B67"/>
    <mergeCell ref="C64:C65"/>
    <mergeCell ref="B64:B65"/>
    <mergeCell ref="A60:A69"/>
    <mergeCell ref="B60:B61"/>
    <mergeCell ref="C60:C61"/>
    <mergeCell ref="B62:B63"/>
    <mergeCell ref="C62:C63"/>
    <mergeCell ref="B68:B69"/>
    <mergeCell ref="C68:C69"/>
    <mergeCell ref="C66:C67"/>
    <mergeCell ref="B78:B80"/>
    <mergeCell ref="C78:C80"/>
    <mergeCell ref="B81:B82"/>
    <mergeCell ref="C81:C82"/>
    <mergeCell ref="A71:A82"/>
    <mergeCell ref="B71:B73"/>
    <mergeCell ref="C71:C73"/>
    <mergeCell ref="B74:B75"/>
    <mergeCell ref="C74:C75"/>
    <mergeCell ref="B76:B77"/>
    <mergeCell ref="C76:C77"/>
    <mergeCell ref="G74:G75"/>
    <mergeCell ref="G78:G80"/>
    <mergeCell ref="G81:G82"/>
    <mergeCell ref="J78:J80"/>
    <mergeCell ref="K71:K72"/>
    <mergeCell ref="K73:K82"/>
  </mergeCells>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0858F-186F-4EED-ACE1-599B699C40D5}">
  <dimension ref="A1:J384"/>
  <sheetViews>
    <sheetView zoomScale="85" workbookViewId="0">
      <pane xSplit="2" ySplit="1" topLeftCell="C28" activePane="bottomRight" state="frozen"/>
      <selection pane="topRight" activeCell="D1" sqref="D1"/>
      <selection pane="bottomLeft" activeCell="A2" sqref="A2"/>
      <selection pane="bottomRight" activeCell="G33" sqref="G33"/>
    </sheetView>
  </sheetViews>
  <sheetFormatPr baseColWidth="10" defaultColWidth="8.6640625" defaultRowHeight="15" customHeight="1" x14ac:dyDescent="0.2"/>
  <cols>
    <col min="1" max="1" width="11.1640625" style="53" customWidth="1"/>
    <col min="2" max="2" width="30.5" style="187" customWidth="1"/>
    <col min="3" max="3" width="44.5" style="17" customWidth="1"/>
    <col min="4" max="4" width="12.6640625" style="182" customWidth="1"/>
    <col min="5" max="5" width="37.6640625" style="183" customWidth="1"/>
    <col min="6" max="6" width="34.5" style="183" customWidth="1"/>
    <col min="7" max="7" width="42.5" style="182" customWidth="1"/>
    <col min="8" max="8" width="38.5" style="183" customWidth="1"/>
    <col min="9" max="9" width="48.6640625" customWidth="1"/>
    <col min="10" max="10" width="15.6640625" customWidth="1"/>
  </cols>
  <sheetData>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 spans="1:10" s="19" customFormat="1" ht="32" x14ac:dyDescent="0.2">
      <c r="A1" s="51" t="s">
        <v>0</v>
      </c>
      <c r="B1" s="77" t="s">
        <v>823</v>
      </c>
      <c r="C1" s="18" t="s">
        <v>824</v>
      </c>
      <c r="D1" s="8" t="s">
        <v>825</v>
      </c>
      <c r="E1" s="8" t="s">
        <v>826</v>
      </c>
      <c r="F1" s="8" t="s">
        <v>827</v>
      </c>
      <c r="G1" s="8" t="s">
        <v>828</v>
      </c>
      <c r="H1" s="5" t="s">
        <v>829</v>
      </c>
      <c r="I1" s="24" t="s">
        <v>830</v>
      </c>
      <c r="J1" s="8" t="s">
        <v>831</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 spans="1:10" ht="32" x14ac:dyDescent="0.2">
      <c r="A2" s="622" t="s">
        <v>12</v>
      </c>
      <c r="B2" s="615" t="s">
        <v>832</v>
      </c>
      <c r="C2" s="14" t="s">
        <v>833</v>
      </c>
      <c r="D2" s="4" t="s">
        <v>834</v>
      </c>
      <c r="E2" s="15" t="s">
        <v>835</v>
      </c>
      <c r="F2" s="15" t="s">
        <v>836</v>
      </c>
      <c r="G2" s="34" t="s">
        <v>837</v>
      </c>
      <c r="H2" s="4" t="s">
        <v>838</v>
      </c>
      <c r="I2" s="4" t="s">
        <v>839</v>
      </c>
      <c r="J2" s="163"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 spans="1:10" ht="32" x14ac:dyDescent="0.2">
      <c r="C3" s="14" t="s">
        <v>841</v>
      </c>
      <c r="D3" s="4" t="s">
        <v>834</v>
      </c>
      <c r="E3" s="15" t="s">
        <v>842</v>
      </c>
      <c r="F3" s="15" t="s">
        <v>843</v>
      </c>
      <c r="G3" s="34" t="s">
        <v>844</v>
      </c>
      <c r="H3" s="4" t="s">
        <v>838</v>
      </c>
      <c r="I3" s="4" t="s">
        <v>840</v>
      </c>
      <c r="J3"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 spans="1:10" ht="32" x14ac:dyDescent="0.2">
      <c r="C4" s="14" t="s">
        <v>845</v>
      </c>
      <c r="D4" s="4" t="s">
        <v>846</v>
      </c>
      <c r="E4" s="15" t="s">
        <v>847</v>
      </c>
      <c r="F4" s="15" t="s">
        <v>848</v>
      </c>
      <c r="G4" s="34" t="s">
        <v>849</v>
      </c>
      <c r="H4" s="4" t="s">
        <v>850</v>
      </c>
      <c r="I4" s="4" t="s">
        <v>840</v>
      </c>
      <c r="J4"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 spans="1:10" ht="48" x14ac:dyDescent="0.2">
      <c r="B5" s="615" t="s">
        <v>24</v>
      </c>
      <c r="C5" s="14" t="s">
        <v>851</v>
      </c>
      <c r="D5" s="4" t="s">
        <v>834</v>
      </c>
      <c r="E5" s="15" t="s">
        <v>852</v>
      </c>
      <c r="F5" s="15" t="s">
        <v>853</v>
      </c>
      <c r="G5" s="34" t="s">
        <v>854</v>
      </c>
      <c r="H5" s="4" t="s">
        <v>850</v>
      </c>
      <c r="I5" s="4" t="s">
        <v>840</v>
      </c>
      <c r="J5"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 spans="1:10" ht="48" x14ac:dyDescent="0.2">
      <c r="C6" s="14" t="s">
        <v>855</v>
      </c>
      <c r="D6" s="4" t="s">
        <v>834</v>
      </c>
      <c r="E6" s="15" t="s">
        <v>852</v>
      </c>
      <c r="F6" s="15" t="s">
        <v>856</v>
      </c>
      <c r="G6" s="34" t="s">
        <v>857</v>
      </c>
      <c r="H6" s="4" t="s">
        <v>858</v>
      </c>
      <c r="I6" s="4" t="s">
        <v>840</v>
      </c>
      <c r="J6" s="4" t="s">
        <v>859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 spans="1:10" ht="32" x14ac:dyDescent="0.2">
      <c r="C7" s="14" t="s">
        <v>860</v>
      </c>
      <c r="D7" s="4" t="s">
        <v>834</v>
      </c>
      <c r="E7" s="15" t="s">
        <v>861</v>
      </c>
      <c r="F7" s="4" t="s">
        <v>862</v>
      </c>
      <c r="G7" s="34" t="s">
        <v>863</v>
      </c>
      <c r="H7" s="4" t="s">
        <v>850</v>
      </c>
      <c r="I7" s="4" t="s">
        <v>840</v>
      </c>
      <c r="J7" s="4" t="s">
        <v>859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 spans="1:10" ht="48" x14ac:dyDescent="0.2">
      <c r="B8" s="615" t="s">
        <v>864</v>
      </c>
      <c r="C8" s="14" t="s">
        <v>865</v>
      </c>
      <c r="D8" s="4" t="s">
        <v>846</v>
      </c>
      <c r="E8" s="15" t="s">
        <v>852</v>
      </c>
      <c r="F8" s="4" t="s">
        <v>866</v>
      </c>
      <c r="G8" s="34" t="s">
        <v>867</v>
      </c>
      <c r="H8" s="4" t="s">
        <v>838</v>
      </c>
      <c r="I8" s="4" t="s">
        <v>859</v>
      </c>
      <c r="J8" s="4"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 spans="1:10" ht="48" x14ac:dyDescent="0.2">
      <c r="C9" s="14" t="s">
        <v>869</v>
      </c>
      <c r="D9" s="4" t="s">
        <v>834</v>
      </c>
      <c r="E9" s="15" t="s">
        <v>870</v>
      </c>
      <c r="F9" s="4" t="s">
        <v>871</v>
      </c>
      <c r="G9" s="34" t="s">
        <v>872</v>
      </c>
      <c r="H9" s="4" t="s">
        <v>838</v>
      </c>
      <c r="I9" s="4" t="s">
        <v>840</v>
      </c>
      <c r="J9"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 spans="1:10" ht="16" x14ac:dyDescent="0.2">
      <c r="C10" s="14" t="s">
        <v>860</v>
      </c>
      <c r="D10" s="4" t="s">
        <v>846</v>
      </c>
      <c r="E10" s="15" t="s">
        <v>873</v>
      </c>
      <c r="F10" s="4" t="s">
        <v>874</v>
      </c>
      <c r="G10" s="34" t="s">
        <v>875</v>
      </c>
      <c r="H10" s="4" t="s">
        <v>850</v>
      </c>
      <c r="I10" s="4" t="s">
        <v>840</v>
      </c>
      <c r="J10"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 spans="1:10" ht="32" x14ac:dyDescent="0.2">
      <c r="B11" s="615" t="s">
        <v>47</v>
      </c>
      <c r="C11" s="14" t="s">
        <v>876</v>
      </c>
      <c r="D11" s="4" t="s">
        <v>834</v>
      </c>
      <c r="E11" s="15" t="s">
        <v>877</v>
      </c>
      <c r="F11" s="4" t="s">
        <v>878</v>
      </c>
      <c r="G11" s="34" t="s">
        <v>879</v>
      </c>
      <c r="H11" s="4" t="s">
        <v>850</v>
      </c>
      <c r="I11" s="4" t="s">
        <v>839</v>
      </c>
      <c r="J11"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 spans="1:10" ht="32" x14ac:dyDescent="0.2">
      <c r="C12" s="14" t="s">
        <v>833</v>
      </c>
      <c r="D12" s="4" t="s">
        <v>834</v>
      </c>
      <c r="E12" s="15" t="s">
        <v>881</v>
      </c>
      <c r="F12" s="4" t="s">
        <v>882</v>
      </c>
      <c r="G12" s="34" t="s">
        <v>883</v>
      </c>
      <c r="H12" s="4" t="s">
        <v>850</v>
      </c>
      <c r="I12" s="4" t="s">
        <v>840</v>
      </c>
      <c r="J12"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 spans="1:10" ht="16" x14ac:dyDescent="0.2">
      <c r="C13" s="14" t="s">
        <v>884</v>
      </c>
      <c r="D13" s="4" t="s">
        <v>846</v>
      </c>
      <c r="E13" s="15" t="s">
        <v>881</v>
      </c>
      <c r="F13" s="4" t="s">
        <v>885</v>
      </c>
      <c r="G13" s="34" t="s">
        <v>886</v>
      </c>
      <c r="H13" s="4" t="s">
        <v>838</v>
      </c>
      <c r="I13" s="4" t="s">
        <v>859</v>
      </c>
      <c r="J13" s="4"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 spans="1:10" ht="32" x14ac:dyDescent="0.2">
      <c r="B14" s="615" t="s">
        <v>40</v>
      </c>
      <c r="C14" s="14" t="s">
        <v>887</v>
      </c>
      <c r="D14" s="4" t="s">
        <v>834</v>
      </c>
      <c r="E14" s="15" t="s">
        <v>888</v>
      </c>
      <c r="F14" s="4" t="s">
        <v>889</v>
      </c>
      <c r="G14" s="34" t="s">
        <v>890</v>
      </c>
      <c r="H14" s="4" t="s">
        <v>850</v>
      </c>
      <c r="I14" s="4" t="s">
        <v>840</v>
      </c>
      <c r="J14"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 spans="1:10" ht="32" x14ac:dyDescent="0.2">
      <c r="C15" s="14" t="s">
        <v>891</v>
      </c>
      <c r="D15" s="4" t="s">
        <v>834</v>
      </c>
      <c r="E15" s="15" t="s">
        <v>870</v>
      </c>
      <c r="F15" s="4" t="s">
        <v>892</v>
      </c>
      <c r="G15" s="34" t="s">
        <v>893</v>
      </c>
      <c r="H15" s="4" t="s">
        <v>858</v>
      </c>
      <c r="I15" s="4" t="s">
        <v>840</v>
      </c>
      <c r="J15"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 spans="1:10" ht="16" x14ac:dyDescent="0.2">
      <c r="C16" s="14" t="s">
        <v>894</v>
      </c>
      <c r="D16" s="4" t="s">
        <v>834</v>
      </c>
      <c r="E16" s="15" t="s">
        <v>895</v>
      </c>
      <c r="F16" s="4" t="s">
        <v>856</v>
      </c>
      <c r="G16" s="34" t="s">
        <v>896</v>
      </c>
      <c r="H16" s="4" t="s">
        <v>838</v>
      </c>
      <c r="I16" s="4" t="s">
        <v>839</v>
      </c>
      <c r="J16"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 spans="1:10" ht="32" x14ac:dyDescent="0.2">
      <c r="B17" s="616" t="s">
        <v>54</v>
      </c>
      <c r="C17" s="14" t="s">
        <v>897</v>
      </c>
      <c r="D17" s="4" t="s">
        <v>834</v>
      </c>
      <c r="E17" s="15" t="s">
        <v>898</v>
      </c>
      <c r="F17" s="4" t="s">
        <v>899</v>
      </c>
      <c r="G17" s="34" t="s">
        <v>900</v>
      </c>
      <c r="H17" s="4" t="s">
        <v>858</v>
      </c>
      <c r="I17" s="4" t="s">
        <v>839</v>
      </c>
      <c r="J17"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 spans="1:10" ht="32" x14ac:dyDescent="0.2">
      <c r="C18" s="14" t="s">
        <v>833</v>
      </c>
      <c r="D18" s="4" t="s">
        <v>834</v>
      </c>
      <c r="E18" s="15" t="s">
        <v>901</v>
      </c>
      <c r="F18" s="4" t="s">
        <v>902</v>
      </c>
      <c r="G18" s="34" t="s">
        <v>883</v>
      </c>
      <c r="H18" s="4" t="s">
        <v>850</v>
      </c>
      <c r="I18" s="4" t="s">
        <v>840</v>
      </c>
      <c r="J18"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 spans="1:10" ht="32" x14ac:dyDescent="0.2">
      <c r="C19" s="14" t="s">
        <v>845</v>
      </c>
      <c r="D19" s="4" t="s">
        <v>846</v>
      </c>
      <c r="E19" s="15" t="s">
        <v>881</v>
      </c>
      <c r="F19" s="15" t="s">
        <v>848</v>
      </c>
      <c r="G19" s="34" t="s">
        <v>849</v>
      </c>
      <c r="H19" s="4" t="s">
        <v>850</v>
      </c>
      <c r="I19" s="4" t="s">
        <v>859</v>
      </c>
      <c r="J19"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 spans="1:10" ht="32" x14ac:dyDescent="0.2">
      <c r="B20" s="615" t="s">
        <v>903</v>
      </c>
      <c r="C20" s="14" t="s">
        <v>904</v>
      </c>
      <c r="D20" s="4" t="s">
        <v>834</v>
      </c>
      <c r="E20" s="15" t="s">
        <v>905</v>
      </c>
      <c r="F20" s="4" t="s">
        <v>906</v>
      </c>
      <c r="G20" s="34" t="s">
        <v>907</v>
      </c>
      <c r="H20" s="4" t="s">
        <v>838</v>
      </c>
      <c r="I20" s="4" t="s">
        <v>840</v>
      </c>
      <c r="J20"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 spans="1:10" ht="48" x14ac:dyDescent="0.2">
      <c r="C21" s="14" t="s">
        <v>908</v>
      </c>
      <c r="D21" s="4" t="s">
        <v>834</v>
      </c>
      <c r="E21" s="15" t="s">
        <v>909</v>
      </c>
      <c r="F21" s="15" t="s">
        <v>910</v>
      </c>
      <c r="G21" s="165" t="s">
        <v>911</v>
      </c>
      <c r="H21" s="4" t="s">
        <v>858</v>
      </c>
      <c r="I21" s="4" t="s">
        <v>839</v>
      </c>
      <c r="J21"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 spans="1:10" ht="32" x14ac:dyDescent="0.2">
      <c r="C22" s="14" t="s">
        <v>912</v>
      </c>
      <c r="D22" s="4" t="s">
        <v>846</v>
      </c>
      <c r="E22" s="15" t="s">
        <v>913</v>
      </c>
      <c r="F22" s="15" t="s">
        <v>914</v>
      </c>
      <c r="G22" s="34" t="s">
        <v>915</v>
      </c>
      <c r="H22" s="4" t="s">
        <v>838</v>
      </c>
      <c r="I22" s="4" t="s">
        <v>859</v>
      </c>
      <c r="J22" s="4"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 spans="1:10" ht="32" x14ac:dyDescent="0.2">
      <c r="B23" s="615" t="s">
        <v>70</v>
      </c>
      <c r="C23" s="14" t="s">
        <v>916</v>
      </c>
      <c r="D23" s="4" t="s">
        <v>834</v>
      </c>
      <c r="E23" s="15" t="s">
        <v>917</v>
      </c>
      <c r="F23" s="15" t="s">
        <v>918</v>
      </c>
      <c r="G23" s="34" t="s">
        <v>919</v>
      </c>
      <c r="H23" s="4" t="s">
        <v>850</v>
      </c>
      <c r="I23" s="4" t="s">
        <v>840</v>
      </c>
      <c r="J23"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 spans="1:10" ht="32" x14ac:dyDescent="0.2">
      <c r="C24" s="14" t="s">
        <v>920</v>
      </c>
      <c r="D24" s="4" t="s">
        <v>834</v>
      </c>
      <c r="E24" s="15" t="s">
        <v>921</v>
      </c>
      <c r="F24" s="15" t="s">
        <v>922</v>
      </c>
      <c r="G24" s="34" t="s">
        <v>923</v>
      </c>
      <c r="H24" s="4" t="s">
        <v>858</v>
      </c>
      <c r="I24" s="4" t="s">
        <v>840</v>
      </c>
      <c r="J24"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 spans="1:10" ht="48" x14ac:dyDescent="0.2">
      <c r="C25" s="14" t="s">
        <v>924</v>
      </c>
      <c r="D25" s="4" t="s">
        <v>834</v>
      </c>
      <c r="E25" s="15" t="s">
        <v>925</v>
      </c>
      <c r="F25" s="15" t="s">
        <v>926</v>
      </c>
      <c r="G25" s="34" t="s">
        <v>927</v>
      </c>
      <c r="H25" s="4" t="s">
        <v>850</v>
      </c>
      <c r="I25" s="4" t="s">
        <v>840</v>
      </c>
      <c r="J25"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 spans="1:10" ht="32" x14ac:dyDescent="0.2">
      <c r="B26" s="615" t="s">
        <v>77</v>
      </c>
      <c r="C26" s="14" t="s">
        <v>928</v>
      </c>
      <c r="D26" s="4" t="s">
        <v>834</v>
      </c>
      <c r="E26" s="15" t="s">
        <v>929</v>
      </c>
      <c r="F26" s="15" t="s">
        <v>930</v>
      </c>
      <c r="G26" s="34" t="s">
        <v>931</v>
      </c>
      <c r="H26" s="4" t="s">
        <v>850</v>
      </c>
      <c r="I26" s="4" t="s">
        <v>840</v>
      </c>
      <c r="J26"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 spans="1:10" ht="32" x14ac:dyDescent="0.2">
      <c r="C27" s="14" t="s">
        <v>932</v>
      </c>
      <c r="D27" s="4" t="s">
        <v>834</v>
      </c>
      <c r="E27" s="15" t="s">
        <v>933</v>
      </c>
      <c r="F27" s="15" t="s">
        <v>930</v>
      </c>
      <c r="G27" s="34" t="s">
        <v>934</v>
      </c>
      <c r="H27" s="4" t="s">
        <v>850</v>
      </c>
      <c r="I27" s="4" t="s">
        <v>840</v>
      </c>
      <c r="J27"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 spans="1:10" ht="32" x14ac:dyDescent="0.2">
      <c r="C28" s="14" t="s">
        <v>935</v>
      </c>
      <c r="D28" s="4" t="s">
        <v>834</v>
      </c>
      <c r="E28" s="15" t="s">
        <v>933</v>
      </c>
      <c r="F28" s="15" t="s">
        <v>930</v>
      </c>
      <c r="G28" s="34" t="s">
        <v>936</v>
      </c>
      <c r="H28" s="4" t="s">
        <v>858</v>
      </c>
      <c r="I28" s="4" t="s">
        <v>840</v>
      </c>
      <c r="J28"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 spans="1:10" ht="32" x14ac:dyDescent="0.2">
      <c r="B29" s="615" t="s">
        <v>86</v>
      </c>
      <c r="C29" s="14" t="s">
        <v>937</v>
      </c>
      <c r="D29" s="4" t="s">
        <v>834</v>
      </c>
      <c r="E29" s="15" t="s">
        <v>905</v>
      </c>
      <c r="F29" s="15" t="s">
        <v>938</v>
      </c>
      <c r="G29" s="34" t="s">
        <v>939</v>
      </c>
      <c r="H29" s="4" t="s">
        <v>850</v>
      </c>
      <c r="I29" s="4" t="s">
        <v>840</v>
      </c>
      <c r="J29"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 spans="1:10" ht="32" x14ac:dyDescent="0.2">
      <c r="C30" s="14" t="s">
        <v>940</v>
      </c>
      <c r="D30" s="4" t="s">
        <v>834</v>
      </c>
      <c r="E30" s="15" t="s">
        <v>941</v>
      </c>
      <c r="F30" s="15" t="s">
        <v>942</v>
      </c>
      <c r="G30" s="34" t="s">
        <v>943</v>
      </c>
      <c r="H30" s="4" t="s">
        <v>838</v>
      </c>
      <c r="I30" s="4" t="s">
        <v>839</v>
      </c>
      <c r="J30"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 spans="1:10" ht="32" x14ac:dyDescent="0.2">
      <c r="C31" s="14" t="s">
        <v>944</v>
      </c>
      <c r="D31" s="4" t="s">
        <v>846</v>
      </c>
      <c r="E31" s="15" t="s">
        <v>945</v>
      </c>
      <c r="F31" s="15" t="s">
        <v>946</v>
      </c>
      <c r="G31" s="34" t="s">
        <v>947</v>
      </c>
      <c r="H31" s="4" t="s">
        <v>838</v>
      </c>
      <c r="I31" s="4" t="s">
        <v>839</v>
      </c>
      <c r="J31"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 spans="1:10" ht="32" x14ac:dyDescent="0.2">
      <c r="B32" s="615" t="s">
        <v>93</v>
      </c>
      <c r="C32" s="14" t="s">
        <v>904</v>
      </c>
      <c r="D32" s="4" t="s">
        <v>834</v>
      </c>
      <c r="E32" s="15" t="s">
        <v>948</v>
      </c>
      <c r="F32" s="15" t="s">
        <v>949</v>
      </c>
      <c r="G32" s="34" t="s">
        <v>907</v>
      </c>
      <c r="H32" s="4" t="s">
        <v>850</v>
      </c>
      <c r="I32" s="4" t="s">
        <v>840</v>
      </c>
      <c r="J32"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 spans="1:10" ht="32" x14ac:dyDescent="0.2">
      <c r="C33" s="14" t="s">
        <v>950</v>
      </c>
      <c r="D33" s="4" t="s">
        <v>834</v>
      </c>
      <c r="E33" s="15" t="s">
        <v>951</v>
      </c>
      <c r="F33" s="15" t="s">
        <v>938</v>
      </c>
      <c r="G33" s="34" t="s">
        <v>952</v>
      </c>
      <c r="H33" s="4" t="s">
        <v>858</v>
      </c>
      <c r="I33" s="4" t="s">
        <v>859</v>
      </c>
      <c r="J33"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 spans="1:10" ht="32" x14ac:dyDescent="0.2">
      <c r="C34" s="14" t="s">
        <v>935</v>
      </c>
      <c r="D34" s="4" t="s">
        <v>834</v>
      </c>
      <c r="E34" s="15" t="s">
        <v>953</v>
      </c>
      <c r="F34" s="15" t="s">
        <v>954</v>
      </c>
      <c r="G34" s="34" t="s">
        <v>955</v>
      </c>
      <c r="H34" s="4" t="s">
        <v>858</v>
      </c>
      <c r="I34" s="4" t="s">
        <v>840</v>
      </c>
      <c r="J34"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 spans="1:10" ht="32" x14ac:dyDescent="0.2">
      <c r="B35" s="615" t="s">
        <v>956</v>
      </c>
      <c r="C35" s="14" t="s">
        <v>845</v>
      </c>
      <c r="D35" s="4" t="s">
        <v>834</v>
      </c>
      <c r="E35" s="15" t="s">
        <v>957</v>
      </c>
      <c r="F35" s="15" t="s">
        <v>958</v>
      </c>
      <c r="G35" s="34" t="s">
        <v>959</v>
      </c>
      <c r="H35" s="4" t="s">
        <v>850</v>
      </c>
      <c r="I35" s="4" t="s">
        <v>840</v>
      </c>
      <c r="J35"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 spans="1:10" ht="32" x14ac:dyDescent="0.2">
      <c r="C36" s="14" t="s">
        <v>960</v>
      </c>
      <c r="D36" s="4" t="s">
        <v>834</v>
      </c>
      <c r="E36" s="15" t="s">
        <v>961</v>
      </c>
      <c r="F36" s="15" t="s">
        <v>962</v>
      </c>
      <c r="G36" s="34" t="s">
        <v>963</v>
      </c>
      <c r="H36" s="4" t="s">
        <v>850</v>
      </c>
      <c r="I36" s="4" t="s">
        <v>839</v>
      </c>
      <c r="J36"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 spans="1:10" ht="48" x14ac:dyDescent="0.2">
      <c r="C37" s="14" t="s">
        <v>908</v>
      </c>
      <c r="D37" s="4" t="s">
        <v>834</v>
      </c>
      <c r="E37" s="15" t="s">
        <v>964</v>
      </c>
      <c r="F37" s="15" t="s">
        <v>965</v>
      </c>
      <c r="G37" s="34" t="s">
        <v>966</v>
      </c>
      <c r="H37" s="4" t="s">
        <v>858</v>
      </c>
      <c r="I37" s="13" t="s">
        <v>839</v>
      </c>
      <c r="J37" s="13"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 spans="1:10" ht="48" x14ac:dyDescent="0.2">
      <c r="B38" s="615" t="s">
        <v>109</v>
      </c>
      <c r="C38" s="14" t="s">
        <v>916</v>
      </c>
      <c r="D38" s="4" t="s">
        <v>834</v>
      </c>
      <c r="E38" s="15" t="s">
        <v>967</v>
      </c>
      <c r="F38" s="15" t="s">
        <v>968</v>
      </c>
      <c r="G38" s="34" t="s">
        <v>969</v>
      </c>
      <c r="H38" s="4" t="s">
        <v>850</v>
      </c>
      <c r="I38" s="4" t="s">
        <v>840</v>
      </c>
      <c r="J38"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9" spans="1:10" ht="32" x14ac:dyDescent="0.2">
      <c r="C39" s="14" t="s">
        <v>935</v>
      </c>
      <c r="D39" s="4" t="s">
        <v>834</v>
      </c>
      <c r="E39" s="15" t="s">
        <v>970</v>
      </c>
      <c r="F39" s="15" t="s">
        <v>965</v>
      </c>
      <c r="G39" s="34" t="s">
        <v>971</v>
      </c>
      <c r="H39" s="4" t="s">
        <v>858</v>
      </c>
      <c r="I39" s="4" t="s">
        <v>840</v>
      </c>
      <c r="J39"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0" spans="1:10" ht="32" x14ac:dyDescent="0.2">
      <c r="C40" s="14" t="s">
        <v>884</v>
      </c>
      <c r="D40" s="4" t="s">
        <v>846</v>
      </c>
      <c r="E40" s="15" t="s">
        <v>972</v>
      </c>
      <c r="F40" s="15" t="s">
        <v>973</v>
      </c>
      <c r="G40" s="34" t="s">
        <v>974</v>
      </c>
      <c r="H40" s="4" t="s">
        <v>850</v>
      </c>
      <c r="I40" s="4" t="s">
        <v>840</v>
      </c>
      <c r="J40"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1" spans="1:10" ht="32" x14ac:dyDescent="0.2">
      <c r="B41" s="627" t="s">
        <v>116</v>
      </c>
      <c r="C41" s="14" t="s">
        <v>975</v>
      </c>
      <c r="D41" s="4" t="s">
        <v>834</v>
      </c>
      <c r="E41" s="15" t="s">
        <v>976</v>
      </c>
      <c r="F41" s="15" t="s">
        <v>977</v>
      </c>
      <c r="G41" s="34" t="s">
        <v>978</v>
      </c>
      <c r="H41" s="4" t="s">
        <v>858</v>
      </c>
      <c r="I41" s="4" t="s">
        <v>840</v>
      </c>
      <c r="J41"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2" spans="1:10" ht="16" x14ac:dyDescent="0.2">
      <c r="C42" s="14" t="s">
        <v>908</v>
      </c>
      <c r="D42" s="4" t="s">
        <v>834</v>
      </c>
      <c r="E42" s="15" t="s">
        <v>979</v>
      </c>
      <c r="F42" s="15" t="s">
        <v>892</v>
      </c>
      <c r="G42" s="34" t="s">
        <v>980</v>
      </c>
      <c r="H42" s="4" t="s">
        <v>850</v>
      </c>
      <c r="I42" s="4" t="s">
        <v>840</v>
      </c>
      <c r="J42"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3" spans="1:10" ht="16" x14ac:dyDescent="0.2">
      <c r="C43" s="14" t="s">
        <v>981</v>
      </c>
      <c r="D43" s="4" t="s">
        <v>834</v>
      </c>
      <c r="E43" s="15" t="s">
        <v>972</v>
      </c>
      <c r="F43" s="15" t="s">
        <v>982</v>
      </c>
      <c r="G43" s="34" t="s">
        <v>983</v>
      </c>
      <c r="H43" s="4" t="s">
        <v>850</v>
      </c>
      <c r="I43" s="4" t="s">
        <v>839</v>
      </c>
      <c r="J43"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4" spans="1:10" ht="32" x14ac:dyDescent="0.2">
      <c r="B44" s="627" t="s">
        <v>123</v>
      </c>
      <c r="C44" s="14" t="s">
        <v>932</v>
      </c>
      <c r="D44" s="4" t="s">
        <v>846</v>
      </c>
      <c r="E44" s="15" t="s">
        <v>984</v>
      </c>
      <c r="F44" s="15" t="s">
        <v>985</v>
      </c>
      <c r="G44" s="34" t="s">
        <v>986</v>
      </c>
      <c r="H44" s="4" t="s">
        <v>850</v>
      </c>
      <c r="I44" s="4" t="s">
        <v>840</v>
      </c>
      <c r="J44"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5" spans="1:10" ht="16" x14ac:dyDescent="0.2">
      <c r="C45" s="154" t="s">
        <v>987</v>
      </c>
      <c r="D45" s="4" t="s">
        <v>834</v>
      </c>
      <c r="E45" s="4" t="s">
        <v>951</v>
      </c>
      <c r="F45" s="4" t="s">
        <v>985</v>
      </c>
      <c r="G45" s="165" t="s">
        <v>988</v>
      </c>
      <c r="H45" s="4" t="s">
        <v>850</v>
      </c>
      <c r="I45" s="4" t="s">
        <v>840</v>
      </c>
      <c r="J45"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6" spans="1:10" ht="32" x14ac:dyDescent="0.2">
      <c r="C46" s="154" t="s">
        <v>989</v>
      </c>
      <c r="D46" s="4" t="s">
        <v>846</v>
      </c>
      <c r="E46" s="4" t="s">
        <v>990</v>
      </c>
      <c r="F46" s="4" t="s">
        <v>991</v>
      </c>
      <c r="G46" s="165" t="s">
        <v>992</v>
      </c>
      <c r="H46" s="4" t="s">
        <v>850</v>
      </c>
      <c r="I46" s="4" t="s">
        <v>993</v>
      </c>
      <c r="J46" s="4"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8" spans="1:10" ht="32" x14ac:dyDescent="0.2">
      <c r="A48" s="619" t="s">
        <v>129</v>
      </c>
      <c r="B48" s="620" t="s">
        <v>133</v>
      </c>
      <c r="C48" s="27" t="s">
        <v>937</v>
      </c>
      <c r="D48" s="156" t="s">
        <v>834</v>
      </c>
      <c r="E48" s="156" t="s">
        <v>994</v>
      </c>
      <c r="F48" s="156" t="s">
        <v>995</v>
      </c>
      <c r="G48" s="169" t="s">
        <v>996</v>
      </c>
      <c r="H48" s="4" t="s">
        <v>850</v>
      </c>
      <c r="I48" s="4" t="s">
        <v>840</v>
      </c>
      <c r="J48"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9" spans="1:10" ht="16" x14ac:dyDescent="0.2">
      <c r="C49" s="27" t="s">
        <v>997</v>
      </c>
      <c r="D49" s="156" t="s">
        <v>834</v>
      </c>
      <c r="E49" s="156" t="s">
        <v>998</v>
      </c>
      <c r="F49" s="156" t="s">
        <v>999</v>
      </c>
      <c r="G49" s="169" t="s">
        <v>1000</v>
      </c>
      <c r="H49" s="4" t="s">
        <v>838</v>
      </c>
      <c r="I49" s="4" t="s">
        <v>840</v>
      </c>
      <c r="J49"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0" spans="1:10" ht="16" x14ac:dyDescent="0.2">
      <c r="C50" s="27" t="s">
        <v>1001</v>
      </c>
      <c r="D50" s="156" t="s">
        <v>834</v>
      </c>
      <c r="E50" s="156" t="s">
        <v>1002</v>
      </c>
      <c r="F50" s="156" t="s">
        <v>1003</v>
      </c>
      <c r="G50" s="169" t="s">
        <v>1004</v>
      </c>
      <c r="H50" s="4" t="s">
        <v>850</v>
      </c>
      <c r="I50" s="4" t="s">
        <v>840</v>
      </c>
      <c r="J50"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1" spans="1:10" ht="16" x14ac:dyDescent="0.2">
      <c r="B51" s="620" t="s">
        <v>141</v>
      </c>
      <c r="C51" s="27" t="s">
        <v>1005</v>
      </c>
      <c r="D51" s="156" t="s">
        <v>834</v>
      </c>
      <c r="E51" s="156" t="s">
        <v>1006</v>
      </c>
      <c r="F51" s="156" t="s">
        <v>1007</v>
      </c>
      <c r="G51" s="169" t="s">
        <v>1008</v>
      </c>
      <c r="H51" s="4" t="s">
        <v>838</v>
      </c>
      <c r="I51" s="4" t="s">
        <v>859</v>
      </c>
      <c r="J51"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2" spans="1:10" ht="32" x14ac:dyDescent="0.2">
      <c r="C52" s="27" t="s">
        <v>1009</v>
      </c>
      <c r="D52" s="156" t="s">
        <v>1010</v>
      </c>
      <c r="E52" s="156" t="s">
        <v>1011</v>
      </c>
      <c r="F52" s="156" t="s">
        <v>1012</v>
      </c>
      <c r="G52" s="169" t="s">
        <v>1013</v>
      </c>
      <c r="H52" s="4" t="s">
        <v>838</v>
      </c>
      <c r="I52" s="4" t="s">
        <v>859</v>
      </c>
      <c r="J52"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3" spans="1:10" ht="16" x14ac:dyDescent="0.2">
      <c r="C53" s="27" t="s">
        <v>1014</v>
      </c>
      <c r="D53" s="156" t="s">
        <v>1010</v>
      </c>
      <c r="E53" s="156" t="s">
        <v>1015</v>
      </c>
      <c r="F53" s="156" t="s">
        <v>1016</v>
      </c>
      <c r="G53" s="169" t="s">
        <v>1017</v>
      </c>
      <c r="H53" s="4" t="s">
        <v>838</v>
      </c>
      <c r="I53" s="4" t="s">
        <v>840</v>
      </c>
      <c r="J53"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4" spans="1:10" ht="32" x14ac:dyDescent="0.2">
      <c r="B54" s="620" t="s">
        <v>151</v>
      </c>
      <c r="C54" s="156" t="s">
        <v>1018</v>
      </c>
      <c r="D54" s="156" t="s">
        <v>834</v>
      </c>
      <c r="E54" s="156" t="s">
        <v>1019</v>
      </c>
      <c r="F54" s="156" t="s">
        <v>910</v>
      </c>
      <c r="G54" s="169" t="s">
        <v>1020</v>
      </c>
      <c r="H54" s="4" t="s">
        <v>850</v>
      </c>
      <c r="I54" s="4" t="s">
        <v>839</v>
      </c>
      <c r="J54"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5" spans="1:10" ht="16" x14ac:dyDescent="0.2">
      <c r="C55" s="27" t="s">
        <v>1021</v>
      </c>
      <c r="D55" s="156" t="s">
        <v>834</v>
      </c>
      <c r="E55" s="156" t="s">
        <v>1022</v>
      </c>
      <c r="F55" s="156" t="s">
        <v>1023</v>
      </c>
      <c r="G55" s="169" t="s">
        <v>1024</v>
      </c>
      <c r="H55" s="4" t="s">
        <v>1025</v>
      </c>
      <c r="I55" s="4" t="s">
        <v>840</v>
      </c>
      <c r="J55"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6" spans="1:10" ht="16" x14ac:dyDescent="0.2">
      <c r="C56" s="27" t="s">
        <v>1026</v>
      </c>
      <c r="D56" s="156" t="s">
        <v>1010</v>
      </c>
      <c r="E56" s="156" t="s">
        <v>1027</v>
      </c>
      <c r="F56" s="156" t="s">
        <v>1028</v>
      </c>
      <c r="G56" s="169" t="s">
        <v>1029</v>
      </c>
      <c r="H56" s="4" t="s">
        <v>838</v>
      </c>
      <c r="I56" s="4" t="s">
        <v>840</v>
      </c>
      <c r="J56"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7" spans="1:10" ht="32" x14ac:dyDescent="0.2">
      <c r="B57" s="620" t="s">
        <v>159</v>
      </c>
      <c r="C57" s="27" t="s">
        <v>1030</v>
      </c>
      <c r="D57" s="156" t="s">
        <v>834</v>
      </c>
      <c r="E57" s="156" t="s">
        <v>1031</v>
      </c>
      <c r="F57" s="156" t="s">
        <v>1032</v>
      </c>
      <c r="G57" s="169" t="s">
        <v>1033</v>
      </c>
      <c r="H57" s="4" t="s">
        <v>1025</v>
      </c>
      <c r="I57" s="4" t="s">
        <v>840</v>
      </c>
      <c r="J57"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8" spans="1:10" ht="32" x14ac:dyDescent="0.2">
      <c r="C58" s="27" t="s">
        <v>937</v>
      </c>
      <c r="D58" s="156" t="s">
        <v>834</v>
      </c>
      <c r="E58" s="156" t="s">
        <v>1034</v>
      </c>
      <c r="F58" s="156" t="s">
        <v>1035</v>
      </c>
      <c r="G58" s="169" t="s">
        <v>1036</v>
      </c>
      <c r="H58" s="4" t="s">
        <v>850</v>
      </c>
      <c r="I58" s="4" t="s">
        <v>840</v>
      </c>
      <c r="J58"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9" spans="1:10" ht="32" x14ac:dyDescent="0.2">
      <c r="C59" s="27" t="s">
        <v>1037</v>
      </c>
      <c r="D59" s="156" t="s">
        <v>1010</v>
      </c>
      <c r="E59" s="156" t="s">
        <v>1038</v>
      </c>
      <c r="F59" s="156" t="s">
        <v>1039</v>
      </c>
      <c r="G59" s="169" t="s">
        <v>1040</v>
      </c>
      <c r="H59" s="4" t="s">
        <v>838</v>
      </c>
      <c r="I59" s="4" t="s">
        <v>859</v>
      </c>
      <c r="J59"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0" spans="1:10" ht="32" x14ac:dyDescent="0.2">
      <c r="B60" s="620" t="s">
        <v>1041</v>
      </c>
      <c r="C60" s="27" t="s">
        <v>1014</v>
      </c>
      <c r="D60" s="156" t="s">
        <v>1010</v>
      </c>
      <c r="E60" s="156" t="s">
        <v>1042</v>
      </c>
      <c r="F60" s="156" t="s">
        <v>1043</v>
      </c>
      <c r="G60" s="169" t="s">
        <v>1044</v>
      </c>
      <c r="H60" s="4" t="s">
        <v>838</v>
      </c>
      <c r="I60" s="4" t="s">
        <v>840</v>
      </c>
      <c r="J60"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1" spans="1:10" ht="32" x14ac:dyDescent="0.2">
      <c r="C61" s="27" t="s">
        <v>1045</v>
      </c>
      <c r="D61" s="156" t="s">
        <v>834</v>
      </c>
      <c r="E61" s="156" t="s">
        <v>1046</v>
      </c>
      <c r="F61" s="156" t="s">
        <v>1007</v>
      </c>
      <c r="G61" s="169" t="s">
        <v>1047</v>
      </c>
      <c r="H61" s="4" t="s">
        <v>838</v>
      </c>
      <c r="I61" s="4" t="s">
        <v>840</v>
      </c>
      <c r="J61"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2" spans="1:10" ht="32" x14ac:dyDescent="0.2">
      <c r="C62" s="27" t="s">
        <v>1048</v>
      </c>
      <c r="D62" s="156" t="s">
        <v>1010</v>
      </c>
      <c r="E62" s="156" t="s">
        <v>1049</v>
      </c>
      <c r="F62" s="156" t="s">
        <v>1028</v>
      </c>
      <c r="G62" s="169" t="s">
        <v>1050</v>
      </c>
      <c r="H62" s="4" t="s">
        <v>838</v>
      </c>
      <c r="I62" s="4" t="s">
        <v>840</v>
      </c>
      <c r="J62"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3" spans="1:10" ht="32" x14ac:dyDescent="0.2">
      <c r="B63" s="620" t="s">
        <v>176</v>
      </c>
      <c r="C63" s="27" t="s">
        <v>908</v>
      </c>
      <c r="D63" s="156" t="s">
        <v>834</v>
      </c>
      <c r="E63" s="156" t="s">
        <v>1051</v>
      </c>
      <c r="F63" s="156" t="s">
        <v>1052</v>
      </c>
      <c r="G63" s="169" t="s">
        <v>1053</v>
      </c>
      <c r="H63" s="4" t="s">
        <v>850</v>
      </c>
      <c r="I63" s="4" t="s">
        <v>839</v>
      </c>
      <c r="J63" s="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4" spans="1:10" ht="32" x14ac:dyDescent="0.2">
      <c r="C64" s="27" t="s">
        <v>1054</v>
      </c>
      <c r="D64" s="156" t="s">
        <v>834</v>
      </c>
      <c r="E64" s="156" t="s">
        <v>1055</v>
      </c>
      <c r="F64" s="156" t="s">
        <v>1056</v>
      </c>
      <c r="G64" s="169" t="s">
        <v>1057</v>
      </c>
      <c r="H64" s="4" t="s">
        <v>850</v>
      </c>
      <c r="I64" s="4" t="s">
        <v>840</v>
      </c>
      <c r="J64"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5" spans="1:10" ht="32" x14ac:dyDescent="0.2">
      <c r="C65" s="27" t="s">
        <v>1058</v>
      </c>
      <c r="D65" s="156" t="s">
        <v>1010</v>
      </c>
      <c r="E65" s="156" t="s">
        <v>1059</v>
      </c>
      <c r="F65" s="156" t="s">
        <v>1060</v>
      </c>
      <c r="G65" s="169" t="s">
        <v>1061</v>
      </c>
      <c r="H65" s="4" t="s">
        <v>838</v>
      </c>
      <c r="I65" s="4" t="s">
        <v>859</v>
      </c>
      <c r="J65"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6" spans="1:10" ht="32" x14ac:dyDescent="0.2">
      <c r="B66" s="620" t="s">
        <v>184</v>
      </c>
      <c r="C66" s="27" t="s">
        <v>1062</v>
      </c>
      <c r="D66" s="156" t="s">
        <v>1010</v>
      </c>
      <c r="E66" s="156" t="s">
        <v>1063</v>
      </c>
      <c r="F66" s="156" t="s">
        <v>1064</v>
      </c>
      <c r="G66" s="169" t="s">
        <v>1065</v>
      </c>
      <c r="H66" s="4" t="s">
        <v>838</v>
      </c>
      <c r="I66" s="4" t="s">
        <v>840</v>
      </c>
      <c r="J66"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7" spans="1:10" ht="32" x14ac:dyDescent="0.2">
      <c r="C67" s="27" t="s">
        <v>1066</v>
      </c>
      <c r="D67" s="156" t="s">
        <v>1010</v>
      </c>
      <c r="E67" s="156" t="s">
        <v>1067</v>
      </c>
      <c r="F67" s="156" t="s">
        <v>1068</v>
      </c>
      <c r="G67" s="169" t="s">
        <v>1069</v>
      </c>
      <c r="H67" s="4" t="s">
        <v>1025</v>
      </c>
      <c r="I67" s="4" t="s">
        <v>859</v>
      </c>
      <c r="J67"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8" spans="1:10" ht="32" x14ac:dyDescent="0.2">
      <c r="C68" s="156" t="s">
        <v>1070</v>
      </c>
      <c r="D68" s="156" t="s">
        <v>834</v>
      </c>
      <c r="E68" s="156" t="s">
        <v>1071</v>
      </c>
      <c r="F68" s="156" t="s">
        <v>1052</v>
      </c>
      <c r="G68" s="169" t="s">
        <v>1072</v>
      </c>
      <c r="H68" s="4" t="s">
        <v>838</v>
      </c>
      <c r="I68" s="4" t="s">
        <v>840</v>
      </c>
      <c r="J68"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9" spans="1:10" ht="32" x14ac:dyDescent="0.2">
      <c r="B69" s="620" t="s">
        <v>194</v>
      </c>
      <c r="C69" s="27" t="s">
        <v>937</v>
      </c>
      <c r="D69" s="156" t="s">
        <v>834</v>
      </c>
      <c r="E69" s="156" t="s">
        <v>1073</v>
      </c>
      <c r="F69" s="156" t="s">
        <v>1056</v>
      </c>
      <c r="G69" s="169" t="s">
        <v>1074</v>
      </c>
      <c r="H69" s="4" t="s">
        <v>850</v>
      </c>
      <c r="I69" s="4" t="s">
        <v>840</v>
      </c>
      <c r="J69"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0" spans="1:10" ht="32" x14ac:dyDescent="0.2">
      <c r="C70" s="27" t="s">
        <v>1075</v>
      </c>
      <c r="D70" s="156" t="s">
        <v>834</v>
      </c>
      <c r="E70" s="156" t="s">
        <v>1076</v>
      </c>
      <c r="F70" s="156" t="s">
        <v>1023</v>
      </c>
      <c r="G70" s="169" t="s">
        <v>1077</v>
      </c>
      <c r="H70" s="4" t="s">
        <v>850</v>
      </c>
      <c r="I70" s="4" t="s">
        <v>840</v>
      </c>
      <c r="J70"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1" spans="1:10" ht="32" x14ac:dyDescent="0.2">
      <c r="C71" s="27" t="s">
        <v>1078</v>
      </c>
      <c r="D71" s="156" t="s">
        <v>1010</v>
      </c>
      <c r="E71" s="156" t="s">
        <v>1079</v>
      </c>
      <c r="F71" s="156" t="s">
        <v>1028</v>
      </c>
      <c r="G71" s="169" t="s">
        <v>1080</v>
      </c>
      <c r="H71" s="4" t="s">
        <v>838</v>
      </c>
      <c r="I71" s="4" t="s">
        <v>840</v>
      </c>
      <c r="J71"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2" spans="1:10" ht="32" x14ac:dyDescent="0.2">
      <c r="B72" s="620" t="s">
        <v>202</v>
      </c>
      <c r="C72" s="27" t="s">
        <v>1081</v>
      </c>
      <c r="D72" s="156" t="s">
        <v>1010</v>
      </c>
      <c r="E72" s="156" t="s">
        <v>1082</v>
      </c>
      <c r="F72" s="156" t="s">
        <v>1083</v>
      </c>
      <c r="G72" s="169" t="s">
        <v>1084</v>
      </c>
      <c r="H72" s="4" t="s">
        <v>838</v>
      </c>
      <c r="I72" s="4" t="s">
        <v>840</v>
      </c>
      <c r="J72"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3" spans="1:10" ht="32" x14ac:dyDescent="0.2">
      <c r="C73" s="27" t="s">
        <v>904</v>
      </c>
      <c r="D73" s="156" t="s">
        <v>834</v>
      </c>
      <c r="E73" s="156" t="s">
        <v>1085</v>
      </c>
      <c r="F73" s="156" t="s">
        <v>1056</v>
      </c>
      <c r="G73" s="169" t="s">
        <v>1086</v>
      </c>
      <c r="H73" s="4" t="s">
        <v>838</v>
      </c>
      <c r="I73" s="4" t="s">
        <v>840</v>
      </c>
      <c r="J73"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4" spans="1:10" ht="32" x14ac:dyDescent="0.2">
      <c r="C74" s="27" t="s">
        <v>1026</v>
      </c>
      <c r="D74" s="156" t="s">
        <v>1010</v>
      </c>
      <c r="E74" s="156" t="s">
        <v>1087</v>
      </c>
      <c r="F74" s="156" t="s">
        <v>1039</v>
      </c>
      <c r="G74" s="169" t="s">
        <v>1088</v>
      </c>
      <c r="H74" s="4" t="s">
        <v>838</v>
      </c>
      <c r="I74" s="4" t="s">
        <v>859</v>
      </c>
      <c r="J74"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5" spans="1:10" ht="32" x14ac:dyDescent="0.2">
      <c r="B75" s="620" t="s">
        <v>212</v>
      </c>
      <c r="C75" s="27" t="s">
        <v>1089</v>
      </c>
      <c r="D75" s="156" t="s">
        <v>834</v>
      </c>
      <c r="E75" s="156" t="s">
        <v>1090</v>
      </c>
      <c r="F75" s="156" t="s">
        <v>1028</v>
      </c>
      <c r="G75" s="169" t="s">
        <v>1091</v>
      </c>
      <c r="H75" s="4" t="s">
        <v>838</v>
      </c>
      <c r="I75" s="4" t="s">
        <v>840</v>
      </c>
      <c r="J75"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6" spans="1:10" ht="16" x14ac:dyDescent="0.2">
      <c r="C76" s="27" t="s">
        <v>1092</v>
      </c>
      <c r="D76" s="156" t="s">
        <v>834</v>
      </c>
      <c r="E76" s="156" t="s">
        <v>1093</v>
      </c>
      <c r="F76" s="156" t="s">
        <v>1056</v>
      </c>
      <c r="G76" s="169" t="s">
        <v>1094</v>
      </c>
      <c r="H76" s="4" t="s">
        <v>838</v>
      </c>
      <c r="I76" s="4" t="s">
        <v>840</v>
      </c>
      <c r="J76"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7" spans="1:10" ht="32" x14ac:dyDescent="0.2">
      <c r="C77" s="27" t="s">
        <v>1014</v>
      </c>
      <c r="D77" s="156" t="s">
        <v>1010</v>
      </c>
      <c r="E77" s="156" t="s">
        <v>1095</v>
      </c>
      <c r="F77" s="156" t="s">
        <v>1096</v>
      </c>
      <c r="G77" s="169" t="s">
        <v>1097</v>
      </c>
      <c r="H77" s="4" t="s">
        <v>838</v>
      </c>
      <c r="I77" s="4" t="s">
        <v>840</v>
      </c>
      <c r="J77"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8" spans="1:10" ht="32" x14ac:dyDescent="0.2">
      <c r="B78" s="620" t="s">
        <v>220</v>
      </c>
      <c r="C78" s="27" t="s">
        <v>1098</v>
      </c>
      <c r="D78" s="156" t="s">
        <v>834</v>
      </c>
      <c r="E78" s="156" t="s">
        <v>1099</v>
      </c>
      <c r="F78" s="156" t="s">
        <v>1056</v>
      </c>
      <c r="G78" s="169" t="s">
        <v>1100</v>
      </c>
      <c r="H78" s="4" t="s">
        <v>850</v>
      </c>
      <c r="I78" s="4" t="s">
        <v>840</v>
      </c>
      <c r="J78"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9" spans="1:10" ht="32" x14ac:dyDescent="0.2">
      <c r="C79" s="27" t="s">
        <v>1101</v>
      </c>
      <c r="D79" s="156" t="s">
        <v>834</v>
      </c>
      <c r="E79" s="156" t="s">
        <v>1102</v>
      </c>
      <c r="F79" s="156" t="s">
        <v>1023</v>
      </c>
      <c r="G79" s="169" t="s">
        <v>1103</v>
      </c>
      <c r="H79" s="4" t="s">
        <v>838</v>
      </c>
      <c r="I79" s="15" t="s">
        <v>840</v>
      </c>
      <c r="J79"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0" spans="1:10" ht="32" x14ac:dyDescent="0.2">
      <c r="C80" s="27" t="s">
        <v>1048</v>
      </c>
      <c r="D80" s="156" t="s">
        <v>1010</v>
      </c>
      <c r="E80" s="156" t="s">
        <v>1087</v>
      </c>
      <c r="F80" s="156" t="s">
        <v>1104</v>
      </c>
      <c r="G80" s="169" t="s">
        <v>1105</v>
      </c>
      <c r="H80" s="4" t="s">
        <v>838</v>
      </c>
      <c r="I80" s="4" t="s">
        <v>840</v>
      </c>
      <c r="J80"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1" spans="1:10" ht="32" x14ac:dyDescent="0.2">
      <c r="B81" s="620" t="s">
        <v>227</v>
      </c>
      <c r="C81" s="27" t="s">
        <v>1106</v>
      </c>
      <c r="D81" s="156" t="s">
        <v>1010</v>
      </c>
      <c r="E81" s="156" t="s">
        <v>1107</v>
      </c>
      <c r="F81" s="156" t="s">
        <v>1108</v>
      </c>
      <c r="G81" s="169" t="s">
        <v>1109</v>
      </c>
      <c r="H81" s="4" t="s">
        <v>1025</v>
      </c>
      <c r="I81" s="4" t="s">
        <v>840</v>
      </c>
      <c r="J81" s="4"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2" spans="1:10" ht="32" x14ac:dyDescent="0.2">
      <c r="C82" s="27" t="s">
        <v>1110</v>
      </c>
      <c r="D82" s="156" t="s">
        <v>1010</v>
      </c>
      <c r="E82" s="156" t="s">
        <v>1111</v>
      </c>
      <c r="F82" s="156" t="s">
        <v>1112</v>
      </c>
      <c r="G82" s="169" t="s">
        <v>1113</v>
      </c>
      <c r="H82" s="4" t="s">
        <v>838</v>
      </c>
      <c r="I82" s="4" t="s">
        <v>840</v>
      </c>
      <c r="J82"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3" spans="1:10" ht="32" x14ac:dyDescent="0.2">
      <c r="C83" s="27" t="s">
        <v>1114</v>
      </c>
      <c r="D83" s="156" t="s">
        <v>834</v>
      </c>
      <c r="E83" s="156" t="s">
        <v>1115</v>
      </c>
      <c r="F83" s="156" t="s">
        <v>1056</v>
      </c>
      <c r="G83" s="169" t="s">
        <v>1116</v>
      </c>
      <c r="H83" s="4" t="s">
        <v>838</v>
      </c>
      <c r="I83" s="4" t="s">
        <v>839</v>
      </c>
      <c r="J83" s="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5" spans="1:10" ht="32" x14ac:dyDescent="0.2">
      <c r="A85" s="617" t="s">
        <v>234</v>
      </c>
      <c r="B85" s="615" t="s">
        <v>238</v>
      </c>
      <c r="C85" s="15" t="s">
        <v>937</v>
      </c>
      <c r="D85" s="15" t="s">
        <v>834</v>
      </c>
      <c r="E85" s="15" t="s">
        <v>1117</v>
      </c>
      <c r="F85" s="25" t="s">
        <v>1118</v>
      </c>
      <c r="G85" s="34" t="s">
        <v>1119</v>
      </c>
      <c r="H85" s="4" t="s">
        <v>850</v>
      </c>
      <c r="I85" s="4" t="s">
        <v>840</v>
      </c>
      <c r="J85"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6" spans="1:10" ht="32" x14ac:dyDescent="0.2">
      <c r="C86" s="15" t="s">
        <v>981</v>
      </c>
      <c r="D86" s="15" t="s">
        <v>834</v>
      </c>
      <c r="E86" s="25" t="s">
        <v>1120</v>
      </c>
      <c r="F86" s="25" t="s">
        <v>1023</v>
      </c>
      <c r="G86" s="34" t="s">
        <v>1121</v>
      </c>
      <c r="H86" s="4" t="s">
        <v>850</v>
      </c>
      <c r="I86" s="15" t="s">
        <v>859</v>
      </c>
      <c r="J86"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7" spans="1:10" ht="16" x14ac:dyDescent="0.2">
      <c r="C87" s="15" t="s">
        <v>1122</v>
      </c>
      <c r="D87" s="15" t="s">
        <v>846</v>
      </c>
      <c r="E87" s="25" t="s">
        <v>1123</v>
      </c>
      <c r="F87" s="25" t="s">
        <v>1118</v>
      </c>
      <c r="G87" s="34" t="s">
        <v>1124</v>
      </c>
      <c r="H87" s="4" t="s">
        <v>838</v>
      </c>
      <c r="I87" s="15" t="s">
        <v>859</v>
      </c>
      <c r="J87"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8" spans="1:10" ht="32" x14ac:dyDescent="0.2">
      <c r="B88" s="615" t="s">
        <v>1125</v>
      </c>
      <c r="C88" s="15" t="s">
        <v>1126</v>
      </c>
      <c r="D88" s="15" t="s">
        <v>834</v>
      </c>
      <c r="E88" s="25" t="s">
        <v>1127</v>
      </c>
      <c r="F88" s="25" t="s">
        <v>1128</v>
      </c>
      <c r="G88" s="34" t="s">
        <v>1129</v>
      </c>
      <c r="H88" s="4" t="s">
        <v>838</v>
      </c>
      <c r="I88" s="15" t="s">
        <v>859</v>
      </c>
      <c r="J88"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9" spans="1:10" ht="16" x14ac:dyDescent="0.2">
      <c r="C89" s="15" t="s">
        <v>932</v>
      </c>
      <c r="D89" s="15" t="s">
        <v>834</v>
      </c>
      <c r="E89" s="25" t="s">
        <v>1130</v>
      </c>
      <c r="F89" s="25" t="s">
        <v>1131</v>
      </c>
      <c r="G89" s="34" t="s">
        <v>1132</v>
      </c>
      <c r="H89" s="4" t="s">
        <v>850</v>
      </c>
      <c r="I89" s="15" t="s">
        <v>859</v>
      </c>
      <c r="J89"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0" spans="1:10" ht="32" x14ac:dyDescent="0.2">
      <c r="C90" s="25" t="s">
        <v>912</v>
      </c>
      <c r="D90" s="15" t="s">
        <v>834</v>
      </c>
      <c r="E90" s="25" t="s">
        <v>1133</v>
      </c>
      <c r="F90" s="25" t="s">
        <v>1134</v>
      </c>
      <c r="G90" s="34" t="s">
        <v>1135</v>
      </c>
      <c r="H90" s="4" t="s">
        <v>838</v>
      </c>
      <c r="I90" s="15" t="s">
        <v>859</v>
      </c>
      <c r="J90"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1" spans="1:10" ht="32" x14ac:dyDescent="0.2">
      <c r="B91" s="615" t="s">
        <v>256</v>
      </c>
      <c r="C91" s="15" t="s">
        <v>904</v>
      </c>
      <c r="D91" s="15" t="s">
        <v>834</v>
      </c>
      <c r="E91" s="15" t="s">
        <v>1136</v>
      </c>
      <c r="F91" s="25" t="s">
        <v>1118</v>
      </c>
      <c r="G91" s="34" t="s">
        <v>1137</v>
      </c>
      <c r="H91" s="4" t="s">
        <v>850</v>
      </c>
      <c r="I91" s="15" t="s">
        <v>859</v>
      </c>
      <c r="J91"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2" spans="1:10" ht="32" x14ac:dyDescent="0.2">
      <c r="C92" s="25" t="s">
        <v>1122</v>
      </c>
      <c r="D92" s="15" t="s">
        <v>846</v>
      </c>
      <c r="E92" s="25" t="s">
        <v>1138</v>
      </c>
      <c r="F92" s="25" t="s">
        <v>1131</v>
      </c>
      <c r="G92" s="34" t="s">
        <v>1139</v>
      </c>
      <c r="H92" s="4" t="s">
        <v>838</v>
      </c>
      <c r="I92" s="15" t="s">
        <v>859</v>
      </c>
      <c r="J92"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3" spans="1:10" ht="16" x14ac:dyDescent="0.2">
      <c r="C93" s="15" t="s">
        <v>1140</v>
      </c>
      <c r="D93" s="15" t="s">
        <v>834</v>
      </c>
      <c r="E93" s="25" t="s">
        <v>1141</v>
      </c>
      <c r="F93" s="25" t="s">
        <v>1142</v>
      </c>
      <c r="G93" s="34" t="s">
        <v>1143</v>
      </c>
      <c r="H93" s="4" t="s">
        <v>838</v>
      </c>
      <c r="I93" s="15" t="s">
        <v>859</v>
      </c>
      <c r="J93"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4" spans="1:10" ht="32" x14ac:dyDescent="0.2">
      <c r="B94" s="615" t="s">
        <v>264</v>
      </c>
      <c r="C94" s="25" t="s">
        <v>912</v>
      </c>
      <c r="D94" s="15" t="s">
        <v>846</v>
      </c>
      <c r="E94" s="25" t="s">
        <v>1144</v>
      </c>
      <c r="F94" s="25" t="s">
        <v>1134</v>
      </c>
      <c r="G94" s="34" t="s">
        <v>1145</v>
      </c>
      <c r="H94" s="4" t="s">
        <v>838</v>
      </c>
      <c r="I94" s="15" t="s">
        <v>859</v>
      </c>
      <c r="J94"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5" spans="1:10" ht="32" x14ac:dyDescent="0.2">
      <c r="C95" s="15" t="s">
        <v>1146</v>
      </c>
      <c r="D95" s="15" t="s">
        <v>834</v>
      </c>
      <c r="E95" s="25" t="s">
        <v>1147</v>
      </c>
      <c r="F95" s="25" t="s">
        <v>1131</v>
      </c>
      <c r="G95" s="34" t="s">
        <v>1148</v>
      </c>
      <c r="H95" s="4" t="s">
        <v>850</v>
      </c>
      <c r="I95" s="15" t="s">
        <v>859</v>
      </c>
      <c r="J95"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6" spans="1:10" ht="32" x14ac:dyDescent="0.2">
      <c r="C96" s="25" t="s">
        <v>937</v>
      </c>
      <c r="D96" s="15" t="s">
        <v>834</v>
      </c>
      <c r="E96" s="25" t="s">
        <v>1141</v>
      </c>
      <c r="F96" s="25" t="s">
        <v>1118</v>
      </c>
      <c r="G96" s="34" t="s">
        <v>1149</v>
      </c>
      <c r="H96" s="4" t="s">
        <v>850</v>
      </c>
      <c r="I96" s="15" t="s">
        <v>859</v>
      </c>
      <c r="J96"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7" spans="1:10" ht="32" x14ac:dyDescent="0.2">
      <c r="B97" s="615" t="s">
        <v>274</v>
      </c>
      <c r="C97" s="15" t="s">
        <v>904</v>
      </c>
      <c r="D97" s="15" t="s">
        <v>834</v>
      </c>
      <c r="E97" s="25" t="s">
        <v>1150</v>
      </c>
      <c r="F97" s="25" t="s">
        <v>1118</v>
      </c>
      <c r="G97" s="34" t="s">
        <v>1151</v>
      </c>
      <c r="H97" s="4" t="s">
        <v>850</v>
      </c>
      <c r="I97" s="15" t="s">
        <v>840</v>
      </c>
      <c r="J97"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8" spans="1:10" ht="32" x14ac:dyDescent="0.2">
      <c r="C98" s="25" t="s">
        <v>912</v>
      </c>
      <c r="D98" s="15" t="s">
        <v>834</v>
      </c>
      <c r="E98" s="25" t="s">
        <v>1152</v>
      </c>
      <c r="F98" s="25" t="s">
        <v>1134</v>
      </c>
      <c r="G98" s="34" t="s">
        <v>1153</v>
      </c>
      <c r="H98" s="4" t="s">
        <v>838</v>
      </c>
      <c r="I98" s="15" t="s">
        <v>840</v>
      </c>
      <c r="J98"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9" spans="1:10" ht="32" x14ac:dyDescent="0.2">
      <c r="C99" s="15" t="s">
        <v>1140</v>
      </c>
      <c r="D99" s="15" t="s">
        <v>834</v>
      </c>
      <c r="E99" s="15" t="s">
        <v>1154</v>
      </c>
      <c r="F99" s="25" t="s">
        <v>1142</v>
      </c>
      <c r="G99" s="34" t="s">
        <v>1155</v>
      </c>
      <c r="H99" s="25" t="s">
        <v>838</v>
      </c>
      <c r="I99" s="15" t="s">
        <v>840</v>
      </c>
      <c r="J99"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0" spans="1:10" ht="32" x14ac:dyDescent="0.2">
      <c r="B100" s="615" t="s">
        <v>282</v>
      </c>
      <c r="C100" s="25" t="s">
        <v>937</v>
      </c>
      <c r="D100" s="15" t="s">
        <v>834</v>
      </c>
      <c r="E100" s="15" t="s">
        <v>1156</v>
      </c>
      <c r="F100" s="25" t="s">
        <v>1118</v>
      </c>
      <c r="G100" s="34" t="s">
        <v>1157</v>
      </c>
      <c r="H100" s="4" t="s">
        <v>850</v>
      </c>
      <c r="I100" s="15" t="s">
        <v>859</v>
      </c>
      <c r="J100"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1" spans="1:10" ht="32" x14ac:dyDescent="0.2">
      <c r="C101" s="15" t="s">
        <v>1146</v>
      </c>
      <c r="D101" s="15" t="s">
        <v>834</v>
      </c>
      <c r="E101" s="15" t="s">
        <v>1158</v>
      </c>
      <c r="F101" s="25" t="s">
        <v>1131</v>
      </c>
      <c r="G101" s="34" t="s">
        <v>1159</v>
      </c>
      <c r="H101" s="4" t="s">
        <v>850</v>
      </c>
      <c r="I101" s="15" t="s">
        <v>840</v>
      </c>
      <c r="J101"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2" spans="1:10" ht="32" x14ac:dyDescent="0.2">
      <c r="C102" s="15" t="s">
        <v>1160</v>
      </c>
      <c r="D102" s="15" t="s">
        <v>834</v>
      </c>
      <c r="E102" s="15" t="s">
        <v>1161</v>
      </c>
      <c r="F102" s="25" t="s">
        <v>1118</v>
      </c>
      <c r="G102" s="34" t="s">
        <v>1162</v>
      </c>
      <c r="H102" s="4" t="s">
        <v>850</v>
      </c>
      <c r="I102" s="15" t="s">
        <v>859</v>
      </c>
      <c r="J102"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3" spans="1:10" ht="32" x14ac:dyDescent="0.2">
      <c r="B103" s="615" t="s">
        <v>292</v>
      </c>
      <c r="C103" s="25" t="s">
        <v>937</v>
      </c>
      <c r="D103" s="15" t="s">
        <v>834</v>
      </c>
      <c r="E103" s="15" t="s">
        <v>1163</v>
      </c>
      <c r="F103" s="25" t="s">
        <v>1118</v>
      </c>
      <c r="G103" s="34" t="s">
        <v>1164</v>
      </c>
      <c r="H103" s="4" t="s">
        <v>850</v>
      </c>
      <c r="I103" s="15" t="s">
        <v>840</v>
      </c>
      <c r="J103"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4" spans="1:10" ht="32" x14ac:dyDescent="0.2">
      <c r="C104" s="15" t="s">
        <v>981</v>
      </c>
      <c r="D104" s="15" t="s">
        <v>834</v>
      </c>
      <c r="E104" s="15" t="s">
        <v>1165</v>
      </c>
      <c r="F104" s="25" t="s">
        <v>1131</v>
      </c>
      <c r="G104" s="34" t="s">
        <v>1166</v>
      </c>
      <c r="H104" s="4" t="s">
        <v>850</v>
      </c>
      <c r="I104" s="15" t="s">
        <v>859</v>
      </c>
      <c r="J104"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5" spans="1:10" ht="32" x14ac:dyDescent="0.2">
      <c r="C105" s="25" t="s">
        <v>1122</v>
      </c>
      <c r="D105" s="15" t="s">
        <v>1167</v>
      </c>
      <c r="E105" s="15" t="s">
        <v>1168</v>
      </c>
      <c r="F105" s="25" t="s">
        <v>1060</v>
      </c>
      <c r="G105" s="34" t="s">
        <v>1169</v>
      </c>
      <c r="H105" s="4" t="s">
        <v>838</v>
      </c>
      <c r="I105" s="15" t="s">
        <v>859</v>
      </c>
      <c r="J105"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6" spans="1:10" ht="32" x14ac:dyDescent="0.2">
      <c r="B106" s="615" t="s">
        <v>300</v>
      </c>
      <c r="C106" s="25" t="s">
        <v>937</v>
      </c>
      <c r="D106" s="15" t="s">
        <v>834</v>
      </c>
      <c r="E106" s="15" t="s">
        <v>1170</v>
      </c>
      <c r="F106" s="25" t="s">
        <v>1118</v>
      </c>
      <c r="G106" s="34" t="s">
        <v>1171</v>
      </c>
      <c r="H106" s="4" t="s">
        <v>850</v>
      </c>
      <c r="I106" s="15" t="s">
        <v>840</v>
      </c>
      <c r="J106"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7" spans="1:10" ht="32" x14ac:dyDescent="0.2">
      <c r="C107" s="15" t="s">
        <v>1146</v>
      </c>
      <c r="D107" s="15" t="s">
        <v>834</v>
      </c>
      <c r="E107" s="15" t="s">
        <v>1172</v>
      </c>
      <c r="F107" s="25" t="s">
        <v>1131</v>
      </c>
      <c r="G107" s="34" t="s">
        <v>1173</v>
      </c>
      <c r="H107" s="4" t="s">
        <v>850</v>
      </c>
      <c r="I107" s="15" t="s">
        <v>840</v>
      </c>
      <c r="J107"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8" spans="1:10" ht="32" x14ac:dyDescent="0.2">
      <c r="C108" s="25" t="s">
        <v>912</v>
      </c>
      <c r="D108" s="15" t="s">
        <v>834</v>
      </c>
      <c r="E108" s="15" t="s">
        <v>1174</v>
      </c>
      <c r="F108" s="25" t="s">
        <v>1134</v>
      </c>
      <c r="G108" s="34" t="s">
        <v>1175</v>
      </c>
      <c r="H108" s="4" t="s">
        <v>838</v>
      </c>
      <c r="I108" s="15" t="s">
        <v>840</v>
      </c>
      <c r="J108"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9" spans="1:10" ht="32" x14ac:dyDescent="0.2">
      <c r="B109" s="621" t="s">
        <v>310</v>
      </c>
      <c r="C109" s="15" t="s">
        <v>904</v>
      </c>
      <c r="D109" s="15" t="s">
        <v>834</v>
      </c>
      <c r="E109" s="15" t="s">
        <v>1176</v>
      </c>
      <c r="F109" s="25" t="s">
        <v>1118</v>
      </c>
      <c r="G109" s="34" t="s">
        <v>1177</v>
      </c>
      <c r="H109" s="4" t="s">
        <v>850</v>
      </c>
      <c r="I109" s="15" t="s">
        <v>859</v>
      </c>
      <c r="J109"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0" spans="1:10" ht="32" x14ac:dyDescent="0.2">
      <c r="C110" s="15" t="s">
        <v>981</v>
      </c>
      <c r="D110" s="15" t="s">
        <v>834</v>
      </c>
      <c r="E110" s="15" t="s">
        <v>1172</v>
      </c>
      <c r="F110" s="25" t="s">
        <v>1131</v>
      </c>
      <c r="G110" s="34" t="s">
        <v>1178</v>
      </c>
      <c r="H110" s="4" t="s">
        <v>850</v>
      </c>
      <c r="I110" s="15" t="s">
        <v>859</v>
      </c>
      <c r="J110"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1" spans="1:10" ht="32" x14ac:dyDescent="0.2">
      <c r="C111" s="15" t="s">
        <v>1026</v>
      </c>
      <c r="D111" s="15" t="s">
        <v>1167</v>
      </c>
      <c r="E111" s="15" t="s">
        <v>1179</v>
      </c>
      <c r="F111" s="25" t="s">
        <v>1134</v>
      </c>
      <c r="G111" s="34" t="s">
        <v>1180</v>
      </c>
      <c r="H111" s="4" t="s">
        <v>850</v>
      </c>
      <c r="I111" s="15" t="s">
        <v>859</v>
      </c>
      <c r="J111"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2" spans="1:10" ht="16" x14ac:dyDescent="0.2">
      <c r="B112" s="621" t="s">
        <v>318</v>
      </c>
      <c r="C112" s="25" t="s">
        <v>937</v>
      </c>
      <c r="D112" s="15" t="s">
        <v>834</v>
      </c>
      <c r="E112" s="15" t="s">
        <v>1156</v>
      </c>
      <c r="F112" s="25" t="s">
        <v>1118</v>
      </c>
      <c r="G112" s="34" t="s">
        <v>1181</v>
      </c>
      <c r="H112" s="4" t="s">
        <v>850</v>
      </c>
      <c r="I112" s="15" t="s">
        <v>859</v>
      </c>
      <c r="J112"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3" spans="1:10" ht="32" x14ac:dyDescent="0.2">
      <c r="C113" s="25" t="s">
        <v>912</v>
      </c>
      <c r="D113" s="15" t="s">
        <v>834</v>
      </c>
      <c r="E113" s="15" t="s">
        <v>1182</v>
      </c>
      <c r="F113" s="25" t="s">
        <v>1131</v>
      </c>
      <c r="G113" s="34" t="s">
        <v>1183</v>
      </c>
      <c r="H113" s="4" t="s">
        <v>838</v>
      </c>
      <c r="I113" s="15" t="s">
        <v>859</v>
      </c>
      <c r="J113" s="1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4" spans="1:10" ht="32" x14ac:dyDescent="0.2">
      <c r="C114" s="15" t="s">
        <v>1146</v>
      </c>
      <c r="D114" s="15" t="s">
        <v>834</v>
      </c>
      <c r="E114" s="15" t="s">
        <v>1184</v>
      </c>
      <c r="F114" s="25" t="s">
        <v>1134</v>
      </c>
      <c r="G114" s="34" t="s">
        <v>1185</v>
      </c>
      <c r="H114" s="4" t="s">
        <v>850</v>
      </c>
      <c r="I114" s="15" t="s">
        <v>859</v>
      </c>
      <c r="J114" s="1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6" spans="1:10" ht="14.5" customHeight="1" x14ac:dyDescent="0.2">
      <c r="A116" s="617" t="s">
        <v>325</v>
      </c>
      <c r="B116" s="615" t="s">
        <v>329</v>
      </c>
      <c r="C116" s="37" t="s">
        <v>1186</v>
      </c>
      <c r="D116" s="15" t="s">
        <v>834</v>
      </c>
      <c r="E116" s="25" t="s">
        <v>1147</v>
      </c>
      <c r="F116" s="25" t="s">
        <v>1187</v>
      </c>
      <c r="G116" s="34" t="s">
        <v>1188</v>
      </c>
      <c r="H116" s="38" t="s">
        <v>850</v>
      </c>
      <c r="I116" s="39" t="s">
        <v>840</v>
      </c>
      <c r="J116" s="39"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7" spans="1:10" ht="14.5" customHeight="1" x14ac:dyDescent="0.2">
      <c r="C117" s="37" t="s">
        <v>1189</v>
      </c>
      <c r="D117" s="15" t="s">
        <v>846</v>
      </c>
      <c r="E117" s="25" t="s">
        <v>1147</v>
      </c>
      <c r="F117" s="25" t="s">
        <v>1190</v>
      </c>
      <c r="G117" s="34" t="s">
        <v>1191</v>
      </c>
      <c r="H117" s="40" t="s">
        <v>838</v>
      </c>
      <c r="I117" s="41" t="s">
        <v>859</v>
      </c>
      <c r="J117"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8" spans="1:10" ht="16" x14ac:dyDescent="0.2">
      <c r="B118" s="615" t="s">
        <v>337</v>
      </c>
      <c r="C118" s="37" t="s">
        <v>1192</v>
      </c>
      <c r="D118" s="15" t="s">
        <v>834</v>
      </c>
      <c r="E118" s="25" t="s">
        <v>1147</v>
      </c>
      <c r="F118" s="25" t="s">
        <v>1193</v>
      </c>
      <c r="G118" s="34" t="s">
        <v>1194</v>
      </c>
      <c r="H118" s="40" t="s">
        <v>838</v>
      </c>
      <c r="I118" s="41" t="s">
        <v>840</v>
      </c>
      <c r="J118"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9" spans="1:10" ht="14.5" customHeight="1" x14ac:dyDescent="0.2">
      <c r="C119" s="37" t="s">
        <v>1195</v>
      </c>
      <c r="D119" s="15" t="s">
        <v>834</v>
      </c>
      <c r="E119" s="25" t="s">
        <v>1147</v>
      </c>
      <c r="F119" s="25" t="s">
        <v>1187</v>
      </c>
      <c r="G119" s="34" t="s">
        <v>1196</v>
      </c>
      <c r="H119" s="40" t="s">
        <v>838</v>
      </c>
      <c r="I119" s="41" t="s">
        <v>840</v>
      </c>
      <c r="J119"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0" spans="1:10" ht="16" x14ac:dyDescent="0.2">
      <c r="B120" s="615" t="s">
        <v>344</v>
      </c>
      <c r="C120" s="37" t="s">
        <v>1197</v>
      </c>
      <c r="D120" s="15" t="s">
        <v>834</v>
      </c>
      <c r="E120" s="25" t="s">
        <v>1198</v>
      </c>
      <c r="F120" s="25" t="s">
        <v>1199</v>
      </c>
      <c r="G120" s="34" t="s">
        <v>1200</v>
      </c>
      <c r="H120" s="40" t="s">
        <v>838</v>
      </c>
      <c r="I120" s="41" t="s">
        <v>840</v>
      </c>
      <c r="J120"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1" spans="1:10" ht="14.5" customHeight="1" x14ac:dyDescent="0.2">
      <c r="C121" s="37" t="s">
        <v>1201</v>
      </c>
      <c r="D121" s="15" t="s">
        <v>834</v>
      </c>
      <c r="E121" s="25" t="s">
        <v>1198</v>
      </c>
      <c r="F121" s="25" t="s">
        <v>1052</v>
      </c>
      <c r="G121" s="34" t="s">
        <v>1202</v>
      </c>
      <c r="H121" s="40" t="s">
        <v>838</v>
      </c>
      <c r="I121" s="41" t="s">
        <v>840</v>
      </c>
      <c r="J121"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2" spans="1:10" ht="16" x14ac:dyDescent="0.2">
      <c r="B122" s="615" t="s">
        <v>354</v>
      </c>
      <c r="C122" s="37" t="s">
        <v>1203</v>
      </c>
      <c r="D122" s="15" t="s">
        <v>834</v>
      </c>
      <c r="E122" s="25" t="s">
        <v>1147</v>
      </c>
      <c r="F122" s="25" t="s">
        <v>1193</v>
      </c>
      <c r="G122" s="34" t="s">
        <v>1204</v>
      </c>
      <c r="H122" s="40" t="s">
        <v>838</v>
      </c>
      <c r="I122" s="41" t="s">
        <v>840</v>
      </c>
      <c r="J122"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3" spans="1:10" ht="14.5" customHeight="1" x14ac:dyDescent="0.2">
      <c r="C123" s="37" t="s">
        <v>1205</v>
      </c>
      <c r="D123" s="15" t="s">
        <v>834</v>
      </c>
      <c r="E123" s="25" t="s">
        <v>1147</v>
      </c>
      <c r="F123" s="25" t="s">
        <v>1187</v>
      </c>
      <c r="G123" s="34" t="s">
        <v>1206</v>
      </c>
      <c r="H123" s="40" t="s">
        <v>838</v>
      </c>
      <c r="I123" s="41" t="s">
        <v>859</v>
      </c>
      <c r="J123"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4" spans="1:10" ht="16" x14ac:dyDescent="0.2">
      <c r="B124" s="615" t="s">
        <v>361</v>
      </c>
      <c r="C124" s="37" t="s">
        <v>1192</v>
      </c>
      <c r="D124" s="15" t="s">
        <v>834</v>
      </c>
      <c r="E124" s="25" t="s">
        <v>1147</v>
      </c>
      <c r="F124" s="25" t="s">
        <v>1193</v>
      </c>
      <c r="G124" s="34" t="s">
        <v>1207</v>
      </c>
      <c r="H124" s="40" t="s">
        <v>838</v>
      </c>
      <c r="I124" s="41" t="s">
        <v>859</v>
      </c>
      <c r="J124"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5" spans="1:10" ht="14.5" customHeight="1" x14ac:dyDescent="0.2">
      <c r="C125" s="37" t="s">
        <v>1208</v>
      </c>
      <c r="D125" s="15" t="s">
        <v>834</v>
      </c>
      <c r="E125" s="25" t="s">
        <v>1147</v>
      </c>
      <c r="F125" s="25" t="s">
        <v>1187</v>
      </c>
      <c r="G125" s="34" t="s">
        <v>1209</v>
      </c>
      <c r="H125" s="40" t="s">
        <v>838</v>
      </c>
      <c r="I125" s="41" t="s">
        <v>840</v>
      </c>
      <c r="J125"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6" spans="1:10" ht="16" x14ac:dyDescent="0.2">
      <c r="B126" s="615" t="s">
        <v>367</v>
      </c>
      <c r="C126" s="37" t="s">
        <v>1210</v>
      </c>
      <c r="D126" s="15" t="s">
        <v>834</v>
      </c>
      <c r="E126" s="25" t="s">
        <v>1147</v>
      </c>
      <c r="F126" s="25" t="s">
        <v>1187</v>
      </c>
      <c r="G126" s="34" t="s">
        <v>1211</v>
      </c>
      <c r="H126" s="40" t="s">
        <v>858</v>
      </c>
      <c r="I126" s="41" t="s">
        <v>839</v>
      </c>
      <c r="J126" s="25"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7" spans="1:10" ht="14.5" customHeight="1" x14ac:dyDescent="0.2">
      <c r="C127" s="37" t="s">
        <v>1212</v>
      </c>
      <c r="D127" s="15" t="s">
        <v>834</v>
      </c>
      <c r="E127" s="25" t="s">
        <v>1198</v>
      </c>
      <c r="F127" s="25" t="s">
        <v>1052</v>
      </c>
      <c r="G127" s="34" t="s">
        <v>1213</v>
      </c>
      <c r="H127" s="40" t="s">
        <v>850</v>
      </c>
      <c r="I127" s="41" t="s">
        <v>840</v>
      </c>
      <c r="J127"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8" spans="1:10" ht="16" x14ac:dyDescent="0.2">
      <c r="B128" s="615" t="s">
        <v>376</v>
      </c>
      <c r="C128" s="37" t="s">
        <v>1214</v>
      </c>
      <c r="D128" s="15" t="s">
        <v>846</v>
      </c>
      <c r="E128" s="25" t="s">
        <v>1147</v>
      </c>
      <c r="F128" s="25" t="s">
        <v>1193</v>
      </c>
      <c r="G128" s="34" t="s">
        <v>1215</v>
      </c>
      <c r="H128" s="40" t="s">
        <v>850</v>
      </c>
      <c r="I128" s="41" t="s">
        <v>859</v>
      </c>
      <c r="J128"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9" spans="1:10" ht="14.5" customHeight="1" x14ac:dyDescent="0.2">
      <c r="C129" s="37" t="s">
        <v>1216</v>
      </c>
      <c r="D129" s="15" t="s">
        <v>834</v>
      </c>
      <c r="E129" s="25" t="s">
        <v>1147</v>
      </c>
      <c r="F129" s="25" t="s">
        <v>1193</v>
      </c>
      <c r="G129" s="34" t="s">
        <v>1217</v>
      </c>
      <c r="H129" s="40" t="s">
        <v>838</v>
      </c>
      <c r="I129" s="41" t="s">
        <v>859</v>
      </c>
      <c r="J129"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0" spans="1:10" ht="16" x14ac:dyDescent="0.2">
      <c r="B130" s="615" t="s">
        <v>384</v>
      </c>
      <c r="C130" s="37" t="s">
        <v>1218</v>
      </c>
      <c r="D130" s="15" t="s">
        <v>834</v>
      </c>
      <c r="E130" s="25" t="s">
        <v>1147</v>
      </c>
      <c r="F130" s="25" t="s">
        <v>1193</v>
      </c>
      <c r="G130" s="34" t="s">
        <v>1219</v>
      </c>
      <c r="H130" s="40" t="s">
        <v>850</v>
      </c>
      <c r="I130" s="41" t="s">
        <v>840</v>
      </c>
      <c r="J130"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1" spans="1:10" ht="14.5" customHeight="1" x14ac:dyDescent="0.2">
      <c r="C131" s="37" t="s">
        <v>1220</v>
      </c>
      <c r="D131" s="15" t="s">
        <v>834</v>
      </c>
      <c r="E131" s="25" t="s">
        <v>1198</v>
      </c>
      <c r="F131" s="25" t="s">
        <v>1052</v>
      </c>
      <c r="G131" s="34" t="s">
        <v>1221</v>
      </c>
      <c r="H131" s="40" t="s">
        <v>838</v>
      </c>
      <c r="I131" s="41" t="s">
        <v>859</v>
      </c>
      <c r="J131"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2" spans="1:10" ht="16" x14ac:dyDescent="0.2">
      <c r="B132" s="615" t="s">
        <v>391</v>
      </c>
      <c r="C132" s="37" t="s">
        <v>1222</v>
      </c>
      <c r="D132" s="15" t="s">
        <v>834</v>
      </c>
      <c r="E132" s="25" t="s">
        <v>1147</v>
      </c>
      <c r="F132" s="25" t="s">
        <v>1193</v>
      </c>
      <c r="G132" s="34" t="s">
        <v>1194</v>
      </c>
      <c r="H132" s="40" t="s">
        <v>838</v>
      </c>
      <c r="I132" s="41" t="s">
        <v>859</v>
      </c>
      <c r="J132"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3" spans="1:10" ht="14.5" customHeight="1" x14ac:dyDescent="0.2">
      <c r="C133" s="37" t="s">
        <v>1197</v>
      </c>
      <c r="D133" s="15" t="s">
        <v>846</v>
      </c>
      <c r="E133" s="25" t="s">
        <v>1198</v>
      </c>
      <c r="F133" s="25" t="s">
        <v>1052</v>
      </c>
      <c r="G133" s="34" t="s">
        <v>1223</v>
      </c>
      <c r="H133" s="40" t="s">
        <v>838</v>
      </c>
      <c r="I133" s="41" t="s">
        <v>859</v>
      </c>
      <c r="J133"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4" spans="1:10" ht="16" x14ac:dyDescent="0.2">
      <c r="B134" s="615" t="s">
        <v>399</v>
      </c>
      <c r="C134" s="37" t="s">
        <v>1224</v>
      </c>
      <c r="D134" s="15" t="s">
        <v>846</v>
      </c>
      <c r="E134" s="25" t="s">
        <v>1147</v>
      </c>
      <c r="F134" s="25" t="s">
        <v>1225</v>
      </c>
      <c r="G134" s="34" t="s">
        <v>1226</v>
      </c>
      <c r="H134" s="40" t="s">
        <v>850</v>
      </c>
      <c r="I134" s="41" t="s">
        <v>859</v>
      </c>
      <c r="J134"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5" spans="1:10" ht="14.5" customHeight="1" x14ac:dyDescent="0.2">
      <c r="C135" s="37" t="s">
        <v>1227</v>
      </c>
      <c r="D135" s="15" t="s">
        <v>834</v>
      </c>
      <c r="E135" s="25" t="s">
        <v>1147</v>
      </c>
      <c r="F135" s="25" t="s">
        <v>1193</v>
      </c>
      <c r="G135" s="34" t="s">
        <v>1228</v>
      </c>
      <c r="H135" s="40" t="s">
        <v>1025</v>
      </c>
      <c r="I135" s="41" t="s">
        <v>859</v>
      </c>
      <c r="J135"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6" spans="1:10" ht="16" x14ac:dyDescent="0.2">
      <c r="B136" s="615" t="s">
        <v>408</v>
      </c>
      <c r="C136" s="37" t="s">
        <v>1229</v>
      </c>
      <c r="D136" s="15" t="s">
        <v>834</v>
      </c>
      <c r="E136" s="25" t="s">
        <v>1147</v>
      </c>
      <c r="F136" s="25" t="s">
        <v>1193</v>
      </c>
      <c r="G136" s="34" t="s">
        <v>1230</v>
      </c>
      <c r="H136" s="40" t="s">
        <v>838</v>
      </c>
      <c r="I136" s="41" t="s">
        <v>859</v>
      </c>
      <c r="J136"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7" spans="1:10" ht="14.5" customHeight="1" x14ac:dyDescent="0.2">
      <c r="C137" s="37" t="s">
        <v>1231</v>
      </c>
      <c r="D137" s="15" t="s">
        <v>846</v>
      </c>
      <c r="E137" s="25" t="s">
        <v>1147</v>
      </c>
      <c r="F137" s="25" t="s">
        <v>1193</v>
      </c>
      <c r="G137" s="34" t="s">
        <v>1232</v>
      </c>
      <c r="H137" s="40" t="s">
        <v>1233</v>
      </c>
      <c r="I137" s="41" t="s">
        <v>993</v>
      </c>
      <c r="J137" s="25"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8" spans="1:10" ht="16" x14ac:dyDescent="0.2">
      <c r="B138" s="615" t="s">
        <v>414</v>
      </c>
      <c r="C138" s="37" t="s">
        <v>1234</v>
      </c>
      <c r="D138" s="15" t="s">
        <v>834</v>
      </c>
      <c r="E138" s="25" t="s">
        <v>1147</v>
      </c>
      <c r="F138" s="25" t="s">
        <v>1187</v>
      </c>
      <c r="G138" s="34" t="s">
        <v>1235</v>
      </c>
      <c r="H138" s="40" t="s">
        <v>858</v>
      </c>
      <c r="I138" s="41" t="s">
        <v>840</v>
      </c>
      <c r="J138" s="25"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9" spans="1:10" ht="14.5" customHeight="1" x14ac:dyDescent="0.2">
      <c r="C139" s="37" t="s">
        <v>1236</v>
      </c>
      <c r="D139" s="15" t="s">
        <v>834</v>
      </c>
      <c r="E139" s="25" t="s">
        <v>1147</v>
      </c>
      <c r="F139" s="25" t="s">
        <v>1193</v>
      </c>
      <c r="G139" s="34" t="s">
        <v>1237</v>
      </c>
      <c r="H139" s="40" t="s">
        <v>838</v>
      </c>
      <c r="I139" s="41" t="s">
        <v>859</v>
      </c>
      <c r="J139"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0" spans="1:10" ht="16" x14ac:dyDescent="0.2">
      <c r="B140" s="615" t="s">
        <v>1238</v>
      </c>
      <c r="C140" s="37" t="s">
        <v>1239</v>
      </c>
      <c r="D140" s="15" t="s">
        <v>834</v>
      </c>
      <c r="E140" s="25" t="s">
        <v>1147</v>
      </c>
      <c r="F140" s="25" t="s">
        <v>1052</v>
      </c>
      <c r="G140" s="34" t="s">
        <v>1200</v>
      </c>
      <c r="H140" s="40" t="s">
        <v>850</v>
      </c>
      <c r="I140" s="41" t="s">
        <v>840</v>
      </c>
      <c r="J140"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1" spans="1:10" ht="14.5" customHeight="1" x14ac:dyDescent="0.2">
      <c r="C141" s="37" t="s">
        <v>1240</v>
      </c>
      <c r="D141" s="15" t="s">
        <v>834</v>
      </c>
      <c r="E141" s="25" t="s">
        <v>1147</v>
      </c>
      <c r="F141" s="25" t="s">
        <v>1199</v>
      </c>
      <c r="G141" s="34" t="s">
        <v>1241</v>
      </c>
      <c r="H141" s="40" t="s">
        <v>850</v>
      </c>
      <c r="I141" s="41" t="s">
        <v>840</v>
      </c>
      <c r="J141"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2" spans="1:10" ht="16" x14ac:dyDescent="0.2">
      <c r="B142" s="615" t="s">
        <v>1242</v>
      </c>
      <c r="C142" s="37" t="s">
        <v>1203</v>
      </c>
      <c r="D142" s="15" t="s">
        <v>834</v>
      </c>
      <c r="E142" s="25" t="s">
        <v>1198</v>
      </c>
      <c r="F142" s="25" t="s">
        <v>1243</v>
      </c>
      <c r="G142" s="34" t="s">
        <v>1244</v>
      </c>
      <c r="H142" s="40" t="s">
        <v>850</v>
      </c>
      <c r="I142" s="41" t="s">
        <v>859</v>
      </c>
      <c r="J142"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3" spans="1:10" ht="14.5" customHeight="1" x14ac:dyDescent="0.2">
      <c r="C143" s="37" t="s">
        <v>1245</v>
      </c>
      <c r="D143" s="15" t="s">
        <v>846</v>
      </c>
      <c r="E143" s="25" t="s">
        <v>1147</v>
      </c>
      <c r="F143" s="25" t="s">
        <v>1243</v>
      </c>
      <c r="G143" s="34" t="s">
        <v>1246</v>
      </c>
      <c r="H143" s="40" t="s">
        <v>838</v>
      </c>
      <c r="I143" s="41" t="s">
        <v>859</v>
      </c>
      <c r="J143"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4" spans="1:10" ht="16" x14ac:dyDescent="0.2">
      <c r="B144" s="615" t="s">
        <v>436</v>
      </c>
      <c r="C144" s="37" t="s">
        <v>1247</v>
      </c>
      <c r="D144" s="15" t="s">
        <v>834</v>
      </c>
      <c r="E144" s="25" t="s">
        <v>1147</v>
      </c>
      <c r="F144" s="25" t="s">
        <v>1193</v>
      </c>
      <c r="G144" s="34" t="s">
        <v>1248</v>
      </c>
      <c r="H144" s="40" t="s">
        <v>850</v>
      </c>
      <c r="I144" s="41" t="s">
        <v>840</v>
      </c>
      <c r="J144"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5" spans="1:10" ht="14.5" customHeight="1" x14ac:dyDescent="0.2">
      <c r="C145" s="37" t="s">
        <v>1197</v>
      </c>
      <c r="D145" s="15" t="s">
        <v>834</v>
      </c>
      <c r="E145" s="25" t="s">
        <v>1198</v>
      </c>
      <c r="F145" s="25" t="s">
        <v>1052</v>
      </c>
      <c r="G145" s="34" t="s">
        <v>1223</v>
      </c>
      <c r="H145" s="40" t="s">
        <v>850</v>
      </c>
      <c r="I145" s="41" t="s">
        <v>840</v>
      </c>
      <c r="J145"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6" spans="1:10" ht="16" x14ac:dyDescent="0.2">
      <c r="B146" s="615" t="s">
        <v>376</v>
      </c>
      <c r="C146" s="37" t="s">
        <v>1249</v>
      </c>
      <c r="D146" s="15" t="s">
        <v>834</v>
      </c>
      <c r="E146" s="25" t="s">
        <v>1147</v>
      </c>
      <c r="F146" s="25" t="s">
        <v>1193</v>
      </c>
      <c r="G146" s="34" t="s">
        <v>1250</v>
      </c>
      <c r="H146" s="40" t="s">
        <v>838</v>
      </c>
      <c r="I146" s="41" t="s">
        <v>859</v>
      </c>
      <c r="J146"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7" spans="1:10" ht="14.5" customHeight="1" x14ac:dyDescent="0.2">
      <c r="C147" s="37" t="s">
        <v>1251</v>
      </c>
      <c r="D147" s="15" t="s">
        <v>846</v>
      </c>
      <c r="E147" s="25" t="s">
        <v>1147</v>
      </c>
      <c r="F147" s="25" t="s">
        <v>1190</v>
      </c>
      <c r="G147" s="34" t="s">
        <v>1191</v>
      </c>
      <c r="H147" s="40" t="s">
        <v>850</v>
      </c>
      <c r="I147" s="41" t="s">
        <v>859</v>
      </c>
      <c r="J147"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8" spans="1:10" ht="16" x14ac:dyDescent="0.2">
      <c r="B148" s="615" t="s">
        <v>452</v>
      </c>
      <c r="C148" s="37" t="s">
        <v>1234</v>
      </c>
      <c r="D148" s="15" t="s">
        <v>834</v>
      </c>
      <c r="E148" s="25" t="s">
        <v>1147</v>
      </c>
      <c r="F148" s="25" t="s">
        <v>1187</v>
      </c>
      <c r="G148" s="34" t="s">
        <v>1235</v>
      </c>
      <c r="H148" s="40" t="s">
        <v>850</v>
      </c>
      <c r="I148" s="41" t="s">
        <v>840</v>
      </c>
      <c r="J148" s="2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9" spans="1:10" ht="14.5" customHeight="1" x14ac:dyDescent="0.2">
      <c r="C149" s="37" t="s">
        <v>1236</v>
      </c>
      <c r="D149" s="15" t="s">
        <v>834</v>
      </c>
      <c r="E149" s="25" t="s">
        <v>1147</v>
      </c>
      <c r="F149" s="25" t="s">
        <v>1193</v>
      </c>
      <c r="G149" s="34" t="s">
        <v>1252</v>
      </c>
      <c r="H149" s="40" t="s">
        <v>850</v>
      </c>
      <c r="I149" s="41" t="s">
        <v>993</v>
      </c>
      <c r="J149" s="2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1" spans="1:10" ht="45" x14ac:dyDescent="0.2">
      <c r="A151" s="626" t="s">
        <v>457</v>
      </c>
      <c r="B151" s="613" t="s">
        <v>461</v>
      </c>
      <c r="C151" s="42" t="s">
        <v>937</v>
      </c>
      <c r="D151" s="4" t="s">
        <v>834</v>
      </c>
      <c r="E151" s="43" t="s">
        <v>1253</v>
      </c>
      <c r="F151" s="35" t="s">
        <v>1254</v>
      </c>
      <c r="G151" s="44" t="s">
        <v>1255</v>
      </c>
      <c r="H151" s="35" t="s">
        <v>850</v>
      </c>
      <c r="I151" s="35" t="s">
        <v>840</v>
      </c>
      <c r="J151"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2" spans="1:10" ht="45" x14ac:dyDescent="0.2">
      <c r="C152" s="42" t="s">
        <v>1256</v>
      </c>
      <c r="D152" s="4" t="s">
        <v>834</v>
      </c>
      <c r="E152" s="43" t="s">
        <v>1253</v>
      </c>
      <c r="F152" s="35" t="s">
        <v>1254</v>
      </c>
      <c r="G152" s="45" t="s">
        <v>1257</v>
      </c>
      <c r="H152" s="35" t="s">
        <v>850</v>
      </c>
      <c r="I152" s="35" t="s">
        <v>840</v>
      </c>
      <c r="J152"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3" spans="1:10" ht="30" x14ac:dyDescent="0.2">
      <c r="C153" s="42" t="s">
        <v>1258</v>
      </c>
      <c r="D153" s="174" t="s">
        <v>834</v>
      </c>
      <c r="E153" s="46" t="s">
        <v>1259</v>
      </c>
      <c r="F153" s="35" t="s">
        <v>1254</v>
      </c>
      <c r="G153" s="45" t="s">
        <v>1260</v>
      </c>
      <c r="H153" s="35" t="s">
        <v>858</v>
      </c>
      <c r="I153" s="35" t="s">
        <v>859</v>
      </c>
      <c r="J153"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4" spans="1:10" ht="60" x14ac:dyDescent="0.2">
      <c r="B154" s="613" t="s">
        <v>469</v>
      </c>
      <c r="C154" s="47" t="s">
        <v>1261</v>
      </c>
      <c r="D154" s="48" t="s">
        <v>834</v>
      </c>
      <c r="E154" s="46" t="s">
        <v>1262</v>
      </c>
      <c r="F154" s="35" t="s">
        <v>1263</v>
      </c>
      <c r="G154" s="45" t="s">
        <v>1264</v>
      </c>
      <c r="H154" s="35" t="s">
        <v>838</v>
      </c>
      <c r="I154" s="35" t="s">
        <v>993</v>
      </c>
      <c r="J154"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5" spans="1:10" ht="60" x14ac:dyDescent="0.2">
      <c r="C155" s="47" t="s">
        <v>1265</v>
      </c>
      <c r="D155" s="48" t="s">
        <v>834</v>
      </c>
      <c r="E155" s="46" t="s">
        <v>1266</v>
      </c>
      <c r="F155" s="35" t="s">
        <v>1254</v>
      </c>
      <c r="G155" s="45" t="s">
        <v>1267</v>
      </c>
      <c r="H155" s="35" t="s">
        <v>838</v>
      </c>
      <c r="I155" s="35" t="s">
        <v>840</v>
      </c>
      <c r="J155"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6" spans="1:10" ht="16" x14ac:dyDescent="0.2">
      <c r="C156" s="47" t="s">
        <v>1268</v>
      </c>
      <c r="D156" s="48" t="s">
        <v>834</v>
      </c>
      <c r="E156" s="46" t="s">
        <v>1269</v>
      </c>
      <c r="F156" s="35" t="s">
        <v>1270</v>
      </c>
      <c r="G156" s="45" t="s">
        <v>1271</v>
      </c>
      <c r="H156" s="35" t="s">
        <v>850</v>
      </c>
      <c r="I156" s="35" t="s">
        <v>859</v>
      </c>
      <c r="J156"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7" spans="1:10" ht="16" x14ac:dyDescent="0.2">
      <c r="B157" s="613" t="s">
        <v>476</v>
      </c>
      <c r="C157" s="47" t="s">
        <v>1272</v>
      </c>
      <c r="D157" s="48" t="s">
        <v>834</v>
      </c>
      <c r="E157" s="46" t="s">
        <v>1253</v>
      </c>
      <c r="F157" s="35" t="s">
        <v>1270</v>
      </c>
      <c r="G157" s="45" t="s">
        <v>1273</v>
      </c>
      <c r="H157" s="35" t="s">
        <v>838</v>
      </c>
      <c r="I157" s="35" t="s">
        <v>993</v>
      </c>
      <c r="J157"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8" spans="1:10" ht="16" x14ac:dyDescent="0.2">
      <c r="C158" s="47" t="s">
        <v>851</v>
      </c>
      <c r="D158" s="48" t="s">
        <v>834</v>
      </c>
      <c r="E158" s="46" t="s">
        <v>1253</v>
      </c>
      <c r="F158" s="35" t="s">
        <v>1263</v>
      </c>
      <c r="G158" s="45" t="s">
        <v>1274</v>
      </c>
      <c r="H158" s="35" t="s">
        <v>850</v>
      </c>
      <c r="I158" s="35" t="s">
        <v>859</v>
      </c>
      <c r="J158"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9" spans="1:10" ht="16" x14ac:dyDescent="0.2">
      <c r="C159" s="47" t="s">
        <v>1275</v>
      </c>
      <c r="D159" s="4" t="s">
        <v>1010</v>
      </c>
      <c r="E159" s="46" t="s">
        <v>1253</v>
      </c>
      <c r="F159" s="35" t="s">
        <v>1263</v>
      </c>
      <c r="G159" s="45" t="s">
        <v>1276</v>
      </c>
      <c r="H159" s="35" t="s">
        <v>858</v>
      </c>
      <c r="I159" s="35" t="s">
        <v>993</v>
      </c>
      <c r="J159"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0" spans="1:10" ht="30" x14ac:dyDescent="0.2">
      <c r="B160" s="613" t="s">
        <v>481</v>
      </c>
      <c r="C160" s="47" t="s">
        <v>1277</v>
      </c>
      <c r="D160" s="48" t="s">
        <v>834</v>
      </c>
      <c r="E160" s="46" t="s">
        <v>1253</v>
      </c>
      <c r="F160" s="35" t="s">
        <v>1263</v>
      </c>
      <c r="G160" s="45" t="s">
        <v>1278</v>
      </c>
      <c r="H160" s="35" t="s">
        <v>850</v>
      </c>
      <c r="I160" s="35" t="s">
        <v>859</v>
      </c>
      <c r="J160"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1" spans="1:10" ht="30" x14ac:dyDescent="0.2">
      <c r="C161" s="47" t="s">
        <v>1279</v>
      </c>
      <c r="D161" s="48" t="s">
        <v>834</v>
      </c>
      <c r="E161" s="46" t="s">
        <v>1280</v>
      </c>
      <c r="F161" s="35" t="s">
        <v>1270</v>
      </c>
      <c r="G161" s="45" t="s">
        <v>1281</v>
      </c>
      <c r="H161" s="35" t="s">
        <v>838</v>
      </c>
      <c r="I161" s="35" t="s">
        <v>859</v>
      </c>
      <c r="J161"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2" spans="1:10" ht="45" x14ac:dyDescent="0.2">
      <c r="C162" s="47" t="s">
        <v>1282</v>
      </c>
      <c r="D162" s="48" t="s">
        <v>834</v>
      </c>
      <c r="E162" s="46" t="s">
        <v>1259</v>
      </c>
      <c r="F162" s="35" t="s">
        <v>1254</v>
      </c>
      <c r="G162" s="45" t="s">
        <v>1283</v>
      </c>
      <c r="H162" s="35" t="s">
        <v>858</v>
      </c>
      <c r="I162" s="35" t="s">
        <v>859</v>
      </c>
      <c r="J162"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3" spans="1:10" ht="30" x14ac:dyDescent="0.2">
      <c r="B163" s="613" t="s">
        <v>488</v>
      </c>
      <c r="C163" s="47" t="s">
        <v>1284</v>
      </c>
      <c r="D163" s="48" t="s">
        <v>834</v>
      </c>
      <c r="E163" s="46" t="s">
        <v>1253</v>
      </c>
      <c r="F163" s="35" t="s">
        <v>1254</v>
      </c>
      <c r="G163" s="45" t="s">
        <v>1285</v>
      </c>
      <c r="H163" s="35" t="s">
        <v>850</v>
      </c>
      <c r="I163" s="35" t="s">
        <v>859</v>
      </c>
      <c r="J163"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4" spans="1:10" ht="30" x14ac:dyDescent="0.2">
      <c r="C164" s="47" t="s">
        <v>904</v>
      </c>
      <c r="D164" s="48" t="s">
        <v>834</v>
      </c>
      <c r="E164" s="46" t="s">
        <v>1286</v>
      </c>
      <c r="F164" s="35" t="s">
        <v>1254</v>
      </c>
      <c r="G164" s="45" t="s">
        <v>1287</v>
      </c>
      <c r="H164" s="35" t="s">
        <v>858</v>
      </c>
      <c r="I164" s="35" t="s">
        <v>859</v>
      </c>
      <c r="J164"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5" spans="1:10" ht="30" x14ac:dyDescent="0.2">
      <c r="C165" s="47" t="s">
        <v>1288</v>
      </c>
      <c r="D165" s="48" t="s">
        <v>834</v>
      </c>
      <c r="E165" s="46" t="s">
        <v>1253</v>
      </c>
      <c r="F165" s="35" t="s">
        <v>1263</v>
      </c>
      <c r="G165" s="45" t="s">
        <v>1289</v>
      </c>
      <c r="H165" s="35" t="s">
        <v>850</v>
      </c>
      <c r="I165" s="35" t="s">
        <v>859</v>
      </c>
      <c r="J165"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6" spans="1:10" ht="30" x14ac:dyDescent="0.2">
      <c r="B166" s="613" t="s">
        <v>494</v>
      </c>
      <c r="C166" s="47" t="s">
        <v>1005</v>
      </c>
      <c r="D166" s="48" t="s">
        <v>834</v>
      </c>
      <c r="E166" s="46" t="s">
        <v>1290</v>
      </c>
      <c r="F166" s="35" t="s">
        <v>1254</v>
      </c>
      <c r="G166" s="45" t="s">
        <v>1291</v>
      </c>
      <c r="H166" s="35" t="s">
        <v>838</v>
      </c>
      <c r="I166" s="35" t="s">
        <v>859</v>
      </c>
      <c r="J166"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7" spans="1:10" ht="30" x14ac:dyDescent="0.2">
      <c r="C167" s="47" t="s">
        <v>1292</v>
      </c>
      <c r="D167" s="48" t="s">
        <v>834</v>
      </c>
      <c r="E167" s="46" t="s">
        <v>1290</v>
      </c>
      <c r="F167" s="35" t="s">
        <v>1254</v>
      </c>
      <c r="G167" s="45" t="s">
        <v>1293</v>
      </c>
      <c r="H167" s="35" t="s">
        <v>850</v>
      </c>
      <c r="I167" s="35" t="s">
        <v>859</v>
      </c>
      <c r="J167"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8" spans="1:10" ht="45" x14ac:dyDescent="0.2">
      <c r="C168" s="42" t="s">
        <v>1294</v>
      </c>
      <c r="D168" s="163" t="s">
        <v>1295</v>
      </c>
      <c r="E168" s="46" t="s">
        <v>1290</v>
      </c>
      <c r="F168" s="35" t="s">
        <v>1254</v>
      </c>
      <c r="G168" s="45" t="s">
        <v>1296</v>
      </c>
      <c r="H168" s="35" t="s">
        <v>838</v>
      </c>
      <c r="I168" s="35" t="s">
        <v>859</v>
      </c>
      <c r="J168"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9" spans="1:10" ht="16" x14ac:dyDescent="0.2">
      <c r="B169" s="613" t="s">
        <v>502</v>
      </c>
      <c r="C169" s="42" t="s">
        <v>1122</v>
      </c>
      <c r="D169" s="4" t="s">
        <v>1295</v>
      </c>
      <c r="E169" s="46" t="s">
        <v>1297</v>
      </c>
      <c r="F169" s="35" t="s">
        <v>1270</v>
      </c>
      <c r="G169" s="45" t="s">
        <v>1298</v>
      </c>
      <c r="H169" s="35" t="s">
        <v>838</v>
      </c>
      <c r="I169" s="35" t="s">
        <v>840</v>
      </c>
      <c r="J169"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0" spans="1:10" ht="45" x14ac:dyDescent="0.2">
      <c r="C170" s="42" t="s">
        <v>1299</v>
      </c>
      <c r="D170" s="4" t="s">
        <v>846</v>
      </c>
      <c r="E170" s="46" t="s">
        <v>1300</v>
      </c>
      <c r="F170" s="35" t="s">
        <v>1263</v>
      </c>
      <c r="G170" s="45" t="s">
        <v>1301</v>
      </c>
      <c r="H170" s="35" t="s">
        <v>850</v>
      </c>
      <c r="I170" s="35" t="s">
        <v>859</v>
      </c>
      <c r="J170"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1" spans="1:10" ht="45" x14ac:dyDescent="0.2">
      <c r="C171" s="42" t="s">
        <v>1302</v>
      </c>
      <c r="D171" s="4" t="s">
        <v>1295</v>
      </c>
      <c r="E171" s="46" t="s">
        <v>1303</v>
      </c>
      <c r="F171" s="35" t="s">
        <v>1270</v>
      </c>
      <c r="G171" s="45" t="s">
        <v>1304</v>
      </c>
      <c r="H171" s="35" t="s">
        <v>838</v>
      </c>
      <c r="I171" s="35" t="s">
        <v>840</v>
      </c>
      <c r="J171"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2" spans="1:10" ht="16" x14ac:dyDescent="0.2">
      <c r="B172" s="613" t="s">
        <v>507</v>
      </c>
      <c r="C172" s="42" t="s">
        <v>1305</v>
      </c>
      <c r="D172" s="4" t="s">
        <v>846</v>
      </c>
      <c r="E172" s="46" t="s">
        <v>1306</v>
      </c>
      <c r="F172" s="35" t="s">
        <v>1263</v>
      </c>
      <c r="G172" s="45" t="s">
        <v>1307</v>
      </c>
      <c r="H172" s="35" t="s">
        <v>838</v>
      </c>
      <c r="I172" s="35" t="s">
        <v>993</v>
      </c>
      <c r="J172"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3" spans="1:10" ht="16" x14ac:dyDescent="0.2">
      <c r="C173" s="42" t="s">
        <v>937</v>
      </c>
      <c r="D173" s="4" t="s">
        <v>834</v>
      </c>
      <c r="E173" s="46" t="s">
        <v>1253</v>
      </c>
      <c r="F173" s="35" t="s">
        <v>1254</v>
      </c>
      <c r="G173" s="45" t="s">
        <v>1308</v>
      </c>
      <c r="H173" s="35" t="s">
        <v>850</v>
      </c>
      <c r="I173" s="35" t="s">
        <v>840</v>
      </c>
      <c r="J173" s="35"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4" spans="1:10" ht="16" x14ac:dyDescent="0.2">
      <c r="C174" s="42" t="s">
        <v>1122</v>
      </c>
      <c r="D174" s="4" t="s">
        <v>1295</v>
      </c>
      <c r="E174" s="46" t="s">
        <v>1309</v>
      </c>
      <c r="F174" s="35" t="s">
        <v>1270</v>
      </c>
      <c r="G174" s="45" t="s">
        <v>1310</v>
      </c>
      <c r="H174" s="35" t="s">
        <v>838</v>
      </c>
      <c r="I174" s="35" t="s">
        <v>840</v>
      </c>
      <c r="J174"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5" spans="1:10" ht="16" x14ac:dyDescent="0.2">
      <c r="B175" s="613" t="s">
        <v>514</v>
      </c>
      <c r="C175" s="42" t="s">
        <v>1311</v>
      </c>
      <c r="D175" s="4" t="s">
        <v>1295</v>
      </c>
      <c r="E175" s="46" t="s">
        <v>1312</v>
      </c>
      <c r="F175" s="35" t="s">
        <v>1270</v>
      </c>
      <c r="G175" s="45" t="s">
        <v>1313</v>
      </c>
      <c r="H175" s="35" t="s">
        <v>838</v>
      </c>
      <c r="I175" s="35" t="s">
        <v>840</v>
      </c>
      <c r="J175"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6" spans="1:10" ht="30" x14ac:dyDescent="0.2">
      <c r="C176" s="42" t="s">
        <v>912</v>
      </c>
      <c r="D176" s="4" t="s">
        <v>1295</v>
      </c>
      <c r="E176" s="46" t="s">
        <v>1312</v>
      </c>
      <c r="F176" s="35" t="s">
        <v>1270</v>
      </c>
      <c r="G176" s="45" t="s">
        <v>1314</v>
      </c>
      <c r="H176" s="35" t="s">
        <v>838</v>
      </c>
      <c r="I176" s="35" t="s">
        <v>859</v>
      </c>
      <c r="J176"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7" spans="1:10" ht="45" x14ac:dyDescent="0.2">
      <c r="C177" s="42" t="s">
        <v>1315</v>
      </c>
      <c r="D177" s="4" t="s">
        <v>1295</v>
      </c>
      <c r="E177" s="46" t="s">
        <v>1312</v>
      </c>
      <c r="F177" s="35" t="s">
        <v>1270</v>
      </c>
      <c r="G177" s="45" t="s">
        <v>1316</v>
      </c>
      <c r="H177" s="35" t="s">
        <v>850</v>
      </c>
      <c r="I177" s="35" t="s">
        <v>859</v>
      </c>
      <c r="J177"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8" spans="1:10" ht="60" x14ac:dyDescent="0.2">
      <c r="B178" s="613" t="s">
        <v>519</v>
      </c>
      <c r="C178" s="42" t="s">
        <v>1317</v>
      </c>
      <c r="D178" s="174" t="s">
        <v>1295</v>
      </c>
      <c r="E178" s="46" t="s">
        <v>1318</v>
      </c>
      <c r="F178" s="35" t="s">
        <v>1270</v>
      </c>
      <c r="G178" s="45" t="s">
        <v>1319</v>
      </c>
      <c r="H178" s="35" t="s">
        <v>1025</v>
      </c>
      <c r="I178" s="35" t="s">
        <v>859</v>
      </c>
      <c r="J178"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9" spans="1:10" ht="30" x14ac:dyDescent="0.2">
      <c r="C179" s="49" t="s">
        <v>1320</v>
      </c>
      <c r="D179" s="4" t="s">
        <v>846</v>
      </c>
      <c r="E179" s="46" t="s">
        <v>1321</v>
      </c>
      <c r="F179" s="35" t="s">
        <v>1263</v>
      </c>
      <c r="G179" s="45" t="s">
        <v>996</v>
      </c>
      <c r="H179" s="35" t="s">
        <v>838</v>
      </c>
      <c r="I179" s="35" t="s">
        <v>993</v>
      </c>
      <c r="J179"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0" spans="1:10" ht="45" x14ac:dyDescent="0.2">
      <c r="C180" s="49" t="s">
        <v>1322</v>
      </c>
      <c r="D180" s="4" t="s">
        <v>1295</v>
      </c>
      <c r="E180" s="46" t="s">
        <v>1321</v>
      </c>
      <c r="F180" s="35" t="s">
        <v>1263</v>
      </c>
      <c r="G180" s="45" t="s">
        <v>1323</v>
      </c>
      <c r="H180" s="35" t="s">
        <v>850</v>
      </c>
      <c r="I180" s="35" t="s">
        <v>993</v>
      </c>
      <c r="J180"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2" spans="1:10" ht="43.25" customHeight="1" x14ac:dyDescent="0.2">
      <c r="A182" s="617" t="s">
        <v>523</v>
      </c>
      <c r="B182" s="616" t="s">
        <v>527</v>
      </c>
      <c r="C182" s="154" t="s">
        <v>1197</v>
      </c>
      <c r="D182" s="4" t="s">
        <v>834</v>
      </c>
      <c r="E182" s="13" t="s">
        <v>1324</v>
      </c>
      <c r="F182" s="4" t="s">
        <v>1007</v>
      </c>
      <c r="G182" s="175" t="s">
        <v>1325</v>
      </c>
      <c r="H182" s="116" t="s">
        <v>838</v>
      </c>
      <c r="I182" s="116" t="s">
        <v>840</v>
      </c>
      <c r="J182"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3" spans="1:10" ht="29" customHeight="1" x14ac:dyDescent="0.2">
      <c r="C183" s="154" t="s">
        <v>1326</v>
      </c>
      <c r="D183" s="4" t="s">
        <v>846</v>
      </c>
      <c r="E183" s="177" t="s">
        <v>1327</v>
      </c>
      <c r="F183" s="4" t="s">
        <v>1193</v>
      </c>
      <c r="G183" s="175" t="s">
        <v>1328</v>
      </c>
      <c r="H183" s="116" t="s">
        <v>838</v>
      </c>
      <c r="I183" s="116" t="s">
        <v>840</v>
      </c>
      <c r="J183"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4" spans="1:10" ht="43.25" customHeight="1" x14ac:dyDescent="0.2">
      <c r="C184" s="154" t="s">
        <v>1329</v>
      </c>
      <c r="D184" s="4" t="s">
        <v>1330</v>
      </c>
      <c r="E184" s="13" t="s">
        <v>1324</v>
      </c>
      <c r="F184" s="4" t="s">
        <v>1331</v>
      </c>
      <c r="G184" s="175" t="s">
        <v>1332</v>
      </c>
      <c r="H184" s="116" t="s">
        <v>1233</v>
      </c>
      <c r="I184" s="116" t="s">
        <v>839</v>
      </c>
      <c r="J184"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5" spans="1:10" ht="43.25" customHeight="1" x14ac:dyDescent="0.2">
      <c r="C185" s="154" t="s">
        <v>1333</v>
      </c>
      <c r="D185" s="625" t="s">
        <v>846</v>
      </c>
      <c r="E185" s="13" t="s">
        <v>1324</v>
      </c>
      <c r="F185" s="4" t="s">
        <v>1334</v>
      </c>
      <c r="G185" s="28" t="s">
        <v>1335</v>
      </c>
      <c r="H185" s="116" t="s">
        <v>1233</v>
      </c>
      <c r="I185" s="116" t="s">
        <v>993</v>
      </c>
      <c r="J185"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6" spans="1:10" ht="29" customHeight="1" x14ac:dyDescent="0.2">
      <c r="C186" s="154" t="s">
        <v>1336</v>
      </c>
      <c r="E186" s="4" t="s">
        <v>1337</v>
      </c>
      <c r="F186" s="4" t="s">
        <v>1334</v>
      </c>
      <c r="G186" s="175" t="s">
        <v>1338</v>
      </c>
      <c r="H186" s="116" t="s">
        <v>1233</v>
      </c>
      <c r="I186" s="116" t="s">
        <v>839</v>
      </c>
      <c r="J186"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7" spans="1:10" ht="43.25" customHeight="1" x14ac:dyDescent="0.2">
      <c r="C187" s="154" t="s">
        <v>1339</v>
      </c>
      <c r="D187" s="625" t="s">
        <v>1330</v>
      </c>
      <c r="E187" s="4" t="s">
        <v>1340</v>
      </c>
      <c r="F187" s="4" t="s">
        <v>1007</v>
      </c>
      <c r="G187" s="165" t="s">
        <v>1341</v>
      </c>
      <c r="H187" s="116" t="s">
        <v>850</v>
      </c>
      <c r="I187" s="116" t="s">
        <v>1342</v>
      </c>
      <c r="J187"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8" spans="1:10" ht="43.25" customHeight="1" x14ac:dyDescent="0.2">
      <c r="C188" s="154" t="s">
        <v>1343</v>
      </c>
      <c r="E188" s="4" t="s">
        <v>1324</v>
      </c>
      <c r="F188" s="4" t="s">
        <v>1007</v>
      </c>
      <c r="G188" s="165" t="s">
        <v>1344</v>
      </c>
      <c r="H188" s="116" t="s">
        <v>1025</v>
      </c>
      <c r="I188" s="116" t="s">
        <v>840</v>
      </c>
      <c r="J188"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9" spans="1:10" ht="43.25" customHeight="1" x14ac:dyDescent="0.2">
      <c r="C189" s="154" t="s">
        <v>1345</v>
      </c>
      <c r="E189" s="13" t="s">
        <v>1346</v>
      </c>
      <c r="F189" s="4" t="s">
        <v>1193</v>
      </c>
      <c r="G189" s="175" t="s">
        <v>1347</v>
      </c>
      <c r="H189" s="116" t="s">
        <v>1233</v>
      </c>
      <c r="I189" s="116" t="s">
        <v>859</v>
      </c>
      <c r="J189"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0" spans="1:10" ht="43.25" customHeight="1" x14ac:dyDescent="0.2">
      <c r="C190" s="154" t="s">
        <v>1333</v>
      </c>
      <c r="D190" s="625" t="s">
        <v>846</v>
      </c>
      <c r="E190" s="13" t="s">
        <v>1324</v>
      </c>
      <c r="F190" s="4" t="s">
        <v>1334</v>
      </c>
      <c r="G190" s="28" t="s">
        <v>1335</v>
      </c>
      <c r="H190" s="116" t="s">
        <v>1233</v>
      </c>
      <c r="I190" s="116" t="s">
        <v>993</v>
      </c>
      <c r="J190"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1" spans="1:10" ht="29" customHeight="1" x14ac:dyDescent="0.2">
      <c r="C191" s="154" t="s">
        <v>1336</v>
      </c>
      <c r="E191" s="4" t="s">
        <v>1337</v>
      </c>
      <c r="F191" s="4" t="s">
        <v>1334</v>
      </c>
      <c r="G191" s="29" t="s">
        <v>1348</v>
      </c>
      <c r="H191" s="116" t="s">
        <v>1233</v>
      </c>
      <c r="I191" s="116" t="s">
        <v>993</v>
      </c>
      <c r="J191"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2" spans="1:10" ht="48" x14ac:dyDescent="0.2">
      <c r="B192" s="623" t="s">
        <v>535</v>
      </c>
      <c r="C192" s="154" t="s">
        <v>1197</v>
      </c>
      <c r="D192" s="4" t="s">
        <v>1330</v>
      </c>
      <c r="E192" s="13" t="s">
        <v>1324</v>
      </c>
      <c r="F192" s="4" t="s">
        <v>1007</v>
      </c>
      <c r="G192" s="175" t="s">
        <v>1325</v>
      </c>
      <c r="H192" s="116" t="s">
        <v>838</v>
      </c>
      <c r="I192" s="116" t="s">
        <v>840</v>
      </c>
      <c r="J192"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3" spans="1:10" ht="29" customHeight="1" x14ac:dyDescent="0.2">
      <c r="C193" s="154" t="s">
        <v>1326</v>
      </c>
      <c r="D193" s="4" t="s">
        <v>846</v>
      </c>
      <c r="E193" s="177" t="s">
        <v>1327</v>
      </c>
      <c r="F193" s="4" t="s">
        <v>1193</v>
      </c>
      <c r="G193" s="175" t="s">
        <v>1328</v>
      </c>
      <c r="H193" s="116" t="s">
        <v>838</v>
      </c>
      <c r="I193" s="116" t="s">
        <v>840</v>
      </c>
      <c r="J193"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4" spans="1:10" ht="57.5" customHeight="1" x14ac:dyDescent="0.2">
      <c r="C194" s="154" t="s">
        <v>1329</v>
      </c>
      <c r="D194" s="628" t="s">
        <v>1330</v>
      </c>
      <c r="E194" s="13" t="s">
        <v>1349</v>
      </c>
      <c r="F194" s="4" t="s">
        <v>1331</v>
      </c>
      <c r="G194" s="175" t="s">
        <v>1332</v>
      </c>
      <c r="H194" s="116" t="s">
        <v>1233</v>
      </c>
      <c r="I194" s="116" t="s">
        <v>859</v>
      </c>
      <c r="J194"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5" spans="1:10" ht="43.25" customHeight="1" x14ac:dyDescent="0.2">
      <c r="C195" s="154" t="s">
        <v>1345</v>
      </c>
      <c r="E195" s="13" t="s">
        <v>1350</v>
      </c>
      <c r="F195" s="4" t="s">
        <v>1193</v>
      </c>
      <c r="G195" s="175" t="s">
        <v>1347</v>
      </c>
      <c r="H195" s="116" t="s">
        <v>1233</v>
      </c>
      <c r="I195" s="116" t="s">
        <v>840</v>
      </c>
      <c r="J195"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6" spans="1:10" ht="57.5" customHeight="1" x14ac:dyDescent="0.2">
      <c r="C196" s="154" t="s">
        <v>1333</v>
      </c>
      <c r="D196" s="628" t="s">
        <v>846</v>
      </c>
      <c r="E196" s="13" t="s">
        <v>1349</v>
      </c>
      <c r="F196" s="4" t="s">
        <v>1334</v>
      </c>
      <c r="G196" s="28" t="s">
        <v>1335</v>
      </c>
      <c r="H196" s="116" t="s">
        <v>1233</v>
      </c>
      <c r="I196" s="116" t="s">
        <v>993</v>
      </c>
      <c r="J196"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7" spans="1:10" ht="43.25" customHeight="1" x14ac:dyDescent="0.2">
      <c r="C197" s="154" t="s">
        <v>1336</v>
      </c>
      <c r="E197" s="4" t="s">
        <v>1351</v>
      </c>
      <c r="F197" s="4" t="s">
        <v>1334</v>
      </c>
      <c r="G197" s="175" t="s">
        <v>1338</v>
      </c>
      <c r="H197" s="116" t="s">
        <v>1233</v>
      </c>
      <c r="I197" s="116" t="s">
        <v>840</v>
      </c>
      <c r="J197"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8" spans="1:10" ht="57.5" customHeight="1" x14ac:dyDescent="0.2">
      <c r="C198" s="154" t="s">
        <v>1343</v>
      </c>
      <c r="D198" s="628" t="s">
        <v>1330</v>
      </c>
      <c r="E198" s="4" t="s">
        <v>1349</v>
      </c>
      <c r="F198" s="4" t="s">
        <v>1007</v>
      </c>
      <c r="G198" s="165" t="s">
        <v>1344</v>
      </c>
      <c r="H198" s="116" t="s">
        <v>1025</v>
      </c>
      <c r="I198" s="116" t="s">
        <v>840</v>
      </c>
      <c r="J198"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9" spans="1:10" ht="43.25" customHeight="1" x14ac:dyDescent="0.2">
      <c r="C199" s="154" t="s">
        <v>1345</v>
      </c>
      <c r="E199" s="13" t="s">
        <v>1346</v>
      </c>
      <c r="F199" s="4" t="s">
        <v>1193</v>
      </c>
      <c r="G199" s="175" t="s">
        <v>1347</v>
      </c>
      <c r="H199" s="116" t="s">
        <v>1233</v>
      </c>
      <c r="I199" s="116" t="s">
        <v>859</v>
      </c>
      <c r="J199"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0" spans="1:10" ht="57.5" customHeight="1" x14ac:dyDescent="0.2">
      <c r="C200" s="154" t="s">
        <v>1333</v>
      </c>
      <c r="D200" s="628" t="s">
        <v>846</v>
      </c>
      <c r="E200" s="4" t="s">
        <v>1349</v>
      </c>
      <c r="F200" s="4" t="s">
        <v>1334</v>
      </c>
      <c r="G200" s="28" t="s">
        <v>1335</v>
      </c>
      <c r="H200" s="116" t="s">
        <v>1233</v>
      </c>
      <c r="I200" s="116" t="s">
        <v>993</v>
      </c>
      <c r="J200"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1" spans="1:10" ht="43.25" customHeight="1" x14ac:dyDescent="0.2">
      <c r="C201" s="154" t="s">
        <v>1336</v>
      </c>
      <c r="E201" s="4" t="s">
        <v>1351</v>
      </c>
      <c r="F201" s="4" t="s">
        <v>1334</v>
      </c>
      <c r="G201" s="175" t="s">
        <v>1338</v>
      </c>
      <c r="H201" s="116" t="s">
        <v>1233</v>
      </c>
      <c r="I201" s="116" t="s">
        <v>993</v>
      </c>
      <c r="J201"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2" spans="1:10" ht="48" x14ac:dyDescent="0.2">
      <c r="B202" s="623" t="s">
        <v>542</v>
      </c>
      <c r="C202" s="154" t="s">
        <v>1197</v>
      </c>
      <c r="D202" s="4" t="s">
        <v>1330</v>
      </c>
      <c r="E202" s="13" t="s">
        <v>1324</v>
      </c>
      <c r="F202" s="4" t="s">
        <v>1007</v>
      </c>
      <c r="G202" s="175" t="s">
        <v>1325</v>
      </c>
      <c r="H202" s="116" t="s">
        <v>1233</v>
      </c>
      <c r="I202" s="116" t="s">
        <v>859</v>
      </c>
      <c r="J202"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3" spans="1:10" ht="29" customHeight="1" x14ac:dyDescent="0.2">
      <c r="C203" s="154" t="s">
        <v>1326</v>
      </c>
      <c r="D203" s="4" t="s">
        <v>846</v>
      </c>
      <c r="E203" s="177" t="s">
        <v>1327</v>
      </c>
      <c r="F203" s="4" t="s">
        <v>1193</v>
      </c>
      <c r="G203" s="175" t="s">
        <v>1328</v>
      </c>
      <c r="H203" s="116" t="s">
        <v>838</v>
      </c>
      <c r="I203" s="116" t="s">
        <v>859</v>
      </c>
      <c r="J203"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4" spans="1:10" ht="43.25" customHeight="1" x14ac:dyDescent="0.2">
      <c r="C204" s="154" t="s">
        <v>1329</v>
      </c>
      <c r="D204" s="4" t="s">
        <v>1330</v>
      </c>
      <c r="E204" s="13" t="s">
        <v>1324</v>
      </c>
      <c r="F204" s="4" t="s">
        <v>1331</v>
      </c>
      <c r="G204" s="175" t="s">
        <v>1332</v>
      </c>
      <c r="H204" s="116" t="s">
        <v>1233</v>
      </c>
      <c r="I204" s="116" t="s">
        <v>840</v>
      </c>
      <c r="J204"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5" spans="1:10" ht="43.25" customHeight="1" x14ac:dyDescent="0.2">
      <c r="C205" s="154" t="s">
        <v>1333</v>
      </c>
      <c r="D205" s="628" t="s">
        <v>846</v>
      </c>
      <c r="E205" s="13" t="s">
        <v>1324</v>
      </c>
      <c r="F205" s="4" t="s">
        <v>1334</v>
      </c>
      <c r="G205" s="28" t="s">
        <v>1335</v>
      </c>
      <c r="H205" s="116" t="s">
        <v>1233</v>
      </c>
      <c r="I205" s="116" t="s">
        <v>993</v>
      </c>
      <c r="J205"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6" spans="1:10" ht="29" customHeight="1" x14ac:dyDescent="0.2">
      <c r="C206" s="154" t="s">
        <v>1336</v>
      </c>
      <c r="E206" s="4" t="s">
        <v>1337</v>
      </c>
      <c r="F206" s="4" t="s">
        <v>1334</v>
      </c>
      <c r="G206" s="175" t="s">
        <v>1338</v>
      </c>
      <c r="H206" s="116" t="s">
        <v>1233</v>
      </c>
      <c r="I206" s="116" t="s">
        <v>993</v>
      </c>
      <c r="J206"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7" spans="1:10" ht="43.25" customHeight="1" x14ac:dyDescent="0.2">
      <c r="C207" s="154" t="s">
        <v>1343</v>
      </c>
      <c r="D207" s="628" t="s">
        <v>1330</v>
      </c>
      <c r="E207" s="4" t="s">
        <v>1324</v>
      </c>
      <c r="F207" s="4" t="s">
        <v>1007</v>
      </c>
      <c r="G207" s="165" t="s">
        <v>1344</v>
      </c>
      <c r="H207" s="116" t="s">
        <v>1025</v>
      </c>
      <c r="I207" s="116" t="s">
        <v>840</v>
      </c>
      <c r="J207"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8" spans="1:10" ht="43.25" customHeight="1" x14ac:dyDescent="0.2">
      <c r="C208" s="154" t="s">
        <v>1345</v>
      </c>
      <c r="E208" s="13" t="s">
        <v>1346</v>
      </c>
      <c r="F208" s="4" t="s">
        <v>1193</v>
      </c>
      <c r="G208" s="175" t="s">
        <v>1347</v>
      </c>
      <c r="H208" s="116" t="s">
        <v>1233</v>
      </c>
      <c r="I208" s="116" t="s">
        <v>859</v>
      </c>
      <c r="J208"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9" spans="1:10" ht="43.25" customHeight="1" x14ac:dyDescent="0.2">
      <c r="C209" s="154" t="s">
        <v>1333</v>
      </c>
      <c r="D209" s="628" t="s">
        <v>846</v>
      </c>
      <c r="E209" s="13" t="s">
        <v>1324</v>
      </c>
      <c r="F209" s="4" t="s">
        <v>1334</v>
      </c>
      <c r="G209" s="28" t="s">
        <v>1335</v>
      </c>
      <c r="H209" s="116" t="s">
        <v>1233</v>
      </c>
      <c r="I209" s="116" t="s">
        <v>993</v>
      </c>
      <c r="J209"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0" spans="1:10" ht="29" customHeight="1" x14ac:dyDescent="0.2">
      <c r="C210" s="154" t="s">
        <v>1336</v>
      </c>
      <c r="E210" s="4" t="s">
        <v>1337</v>
      </c>
      <c r="F210" s="4" t="s">
        <v>1334</v>
      </c>
      <c r="G210" s="175" t="s">
        <v>1338</v>
      </c>
      <c r="H210" s="116" t="s">
        <v>1233</v>
      </c>
      <c r="I210" s="116" t="s">
        <v>993</v>
      </c>
      <c r="J210"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1" spans="1:10" ht="48" x14ac:dyDescent="0.2">
      <c r="B211" s="623" t="s">
        <v>550</v>
      </c>
      <c r="C211" s="154" t="s">
        <v>1197</v>
      </c>
      <c r="D211" s="4" t="s">
        <v>1330</v>
      </c>
      <c r="E211" s="13" t="s">
        <v>1324</v>
      </c>
      <c r="F211" s="4" t="s">
        <v>1007</v>
      </c>
      <c r="G211" s="175" t="s">
        <v>1325</v>
      </c>
      <c r="H211" s="116" t="s">
        <v>1233</v>
      </c>
      <c r="I211" s="116" t="s">
        <v>859</v>
      </c>
      <c r="J211"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2" spans="1:10" ht="29" customHeight="1" x14ac:dyDescent="0.2">
      <c r="C212" s="154" t="s">
        <v>1326</v>
      </c>
      <c r="D212" s="4" t="s">
        <v>846</v>
      </c>
      <c r="E212" s="177" t="s">
        <v>1327</v>
      </c>
      <c r="F212" s="4" t="s">
        <v>1193</v>
      </c>
      <c r="G212" s="175" t="s">
        <v>1328</v>
      </c>
      <c r="H212" s="116" t="s">
        <v>838</v>
      </c>
      <c r="I212" s="116" t="s">
        <v>859</v>
      </c>
      <c r="J212"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3" spans="1:10" ht="43.25" customHeight="1" x14ac:dyDescent="0.2">
      <c r="C213" s="154" t="s">
        <v>1329</v>
      </c>
      <c r="D213" s="4" t="s">
        <v>1330</v>
      </c>
      <c r="E213" s="13" t="s">
        <v>1324</v>
      </c>
      <c r="F213" s="4" t="s">
        <v>1331</v>
      </c>
      <c r="G213" s="175" t="s">
        <v>1332</v>
      </c>
      <c r="H213" s="116" t="s">
        <v>1233</v>
      </c>
      <c r="I213" s="116" t="s">
        <v>840</v>
      </c>
      <c r="J213"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4" spans="1:10" ht="43.25" customHeight="1" x14ac:dyDescent="0.2">
      <c r="C214" s="154" t="s">
        <v>1333</v>
      </c>
      <c r="D214" s="628" t="s">
        <v>846</v>
      </c>
      <c r="E214" s="13" t="s">
        <v>1324</v>
      </c>
      <c r="F214" s="4" t="s">
        <v>1334</v>
      </c>
      <c r="G214" s="28" t="s">
        <v>1335</v>
      </c>
      <c r="H214" s="116" t="s">
        <v>1233</v>
      </c>
      <c r="I214" s="116" t="s">
        <v>993</v>
      </c>
      <c r="J214"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5" spans="1:10" ht="29" customHeight="1" x14ac:dyDescent="0.2">
      <c r="C215" s="154" t="s">
        <v>1336</v>
      </c>
      <c r="E215" s="4" t="s">
        <v>1337</v>
      </c>
      <c r="F215" s="4" t="s">
        <v>1334</v>
      </c>
      <c r="G215" s="175" t="s">
        <v>1338</v>
      </c>
      <c r="H215" s="116" t="s">
        <v>1233</v>
      </c>
      <c r="I215" s="116" t="s">
        <v>993</v>
      </c>
      <c r="J215"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6" spans="1:10" ht="43.25" customHeight="1" x14ac:dyDescent="0.2">
      <c r="C216" s="154" t="s">
        <v>1343</v>
      </c>
      <c r="D216" s="628" t="s">
        <v>1330</v>
      </c>
      <c r="E216" s="4" t="s">
        <v>1324</v>
      </c>
      <c r="F216" s="4" t="s">
        <v>1007</v>
      </c>
      <c r="G216" s="165" t="s">
        <v>1344</v>
      </c>
      <c r="H216" s="116" t="s">
        <v>1025</v>
      </c>
      <c r="I216" s="116" t="s">
        <v>840</v>
      </c>
      <c r="J216"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7" spans="1:10" ht="43.25" customHeight="1" x14ac:dyDescent="0.2">
      <c r="C217" s="154" t="s">
        <v>1345</v>
      </c>
      <c r="E217" s="13" t="s">
        <v>1346</v>
      </c>
      <c r="F217" s="4" t="s">
        <v>1193</v>
      </c>
      <c r="G217" s="175" t="s">
        <v>1347</v>
      </c>
      <c r="H217" s="116" t="s">
        <v>1233</v>
      </c>
      <c r="I217" s="116" t="s">
        <v>859</v>
      </c>
      <c r="J217"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8" spans="1:10" ht="43.25" customHeight="1" x14ac:dyDescent="0.2">
      <c r="C218" s="154" t="s">
        <v>1333</v>
      </c>
      <c r="D218" s="628" t="s">
        <v>846</v>
      </c>
      <c r="E218" s="13" t="s">
        <v>1324</v>
      </c>
      <c r="F218" s="4" t="s">
        <v>1334</v>
      </c>
      <c r="G218" s="28" t="s">
        <v>1335</v>
      </c>
      <c r="H218" s="116" t="s">
        <v>1233</v>
      </c>
      <c r="I218" s="116" t="s">
        <v>993</v>
      </c>
      <c r="J218"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9" spans="1:10" ht="29" customHeight="1" x14ac:dyDescent="0.2">
      <c r="C219" s="154" t="s">
        <v>1336</v>
      </c>
      <c r="E219" s="4" t="s">
        <v>1337</v>
      </c>
      <c r="F219" s="4" t="s">
        <v>1334</v>
      </c>
      <c r="G219" s="175" t="s">
        <v>1338</v>
      </c>
      <c r="H219" s="116" t="s">
        <v>1233</v>
      </c>
      <c r="I219" s="116" t="s">
        <v>993</v>
      </c>
      <c r="J219"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0" spans="1:10" ht="48" x14ac:dyDescent="0.2">
      <c r="B220" s="623" t="s">
        <v>556</v>
      </c>
      <c r="C220" s="154" t="s">
        <v>1197</v>
      </c>
      <c r="D220" s="4" t="s">
        <v>1330</v>
      </c>
      <c r="E220" s="13" t="s">
        <v>1324</v>
      </c>
      <c r="F220" s="4" t="s">
        <v>1007</v>
      </c>
      <c r="G220" s="175" t="s">
        <v>1325</v>
      </c>
      <c r="H220" s="116" t="s">
        <v>1233</v>
      </c>
      <c r="I220" s="116" t="s">
        <v>840</v>
      </c>
      <c r="J220"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1" spans="1:10" ht="29" customHeight="1" x14ac:dyDescent="0.2">
      <c r="C221" s="154" t="s">
        <v>1326</v>
      </c>
      <c r="D221" s="4" t="s">
        <v>846</v>
      </c>
      <c r="E221" s="177" t="s">
        <v>1327</v>
      </c>
      <c r="F221" s="4" t="s">
        <v>1193</v>
      </c>
      <c r="G221" s="175" t="s">
        <v>1328</v>
      </c>
      <c r="H221" s="116" t="s">
        <v>838</v>
      </c>
      <c r="I221" s="116" t="s">
        <v>840</v>
      </c>
      <c r="J221"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2" spans="1:10" ht="43.25" customHeight="1" x14ac:dyDescent="0.2">
      <c r="C222" s="154" t="s">
        <v>1329</v>
      </c>
      <c r="D222" s="4" t="s">
        <v>1330</v>
      </c>
      <c r="E222" s="13" t="s">
        <v>1324</v>
      </c>
      <c r="F222" s="4" t="s">
        <v>1331</v>
      </c>
      <c r="G222" s="175" t="s">
        <v>1332</v>
      </c>
      <c r="H222" s="116" t="s">
        <v>1233</v>
      </c>
      <c r="I222" s="116" t="s">
        <v>840</v>
      </c>
      <c r="J222"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3" spans="1:10" ht="43.25" customHeight="1" x14ac:dyDescent="0.2">
      <c r="C223" s="154" t="s">
        <v>1333</v>
      </c>
      <c r="D223" s="628" t="s">
        <v>846</v>
      </c>
      <c r="E223" s="13" t="s">
        <v>1324</v>
      </c>
      <c r="F223" s="4" t="s">
        <v>1334</v>
      </c>
      <c r="G223" s="28" t="s">
        <v>1335</v>
      </c>
      <c r="H223" s="116" t="s">
        <v>1233</v>
      </c>
      <c r="I223" s="116" t="s">
        <v>993</v>
      </c>
      <c r="J223"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4" spans="1:10" ht="29" customHeight="1" x14ac:dyDescent="0.2">
      <c r="C224" s="154" t="s">
        <v>1336</v>
      </c>
      <c r="E224" s="4" t="s">
        <v>1337</v>
      </c>
      <c r="F224" s="4" t="s">
        <v>1334</v>
      </c>
      <c r="G224" s="175" t="s">
        <v>1338</v>
      </c>
      <c r="H224" s="116" t="s">
        <v>1233</v>
      </c>
      <c r="I224" s="116" t="s">
        <v>993</v>
      </c>
      <c r="J224"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5" spans="1:10" ht="43.25" customHeight="1" x14ac:dyDescent="0.2">
      <c r="C225" s="154" t="s">
        <v>1343</v>
      </c>
      <c r="D225" s="628" t="s">
        <v>1330</v>
      </c>
      <c r="E225" s="4" t="s">
        <v>1324</v>
      </c>
      <c r="F225" s="4" t="s">
        <v>1007</v>
      </c>
      <c r="G225" s="165" t="s">
        <v>1344</v>
      </c>
      <c r="H225" s="116" t="s">
        <v>1025</v>
      </c>
      <c r="I225" s="116" t="s">
        <v>840</v>
      </c>
      <c r="J225"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6" spans="1:10" ht="43.25" customHeight="1" x14ac:dyDescent="0.2">
      <c r="C226" s="154" t="s">
        <v>1345</v>
      </c>
      <c r="E226" s="13" t="s">
        <v>1346</v>
      </c>
      <c r="F226" s="4" t="s">
        <v>1193</v>
      </c>
      <c r="G226" s="175" t="s">
        <v>1347</v>
      </c>
      <c r="H226" s="116" t="s">
        <v>1233</v>
      </c>
      <c r="I226" s="116" t="s">
        <v>859</v>
      </c>
      <c r="J226"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7" spans="1:10" ht="43.25" customHeight="1" x14ac:dyDescent="0.2">
      <c r="C227" s="154" t="s">
        <v>1333</v>
      </c>
      <c r="D227" s="628" t="s">
        <v>846</v>
      </c>
      <c r="E227" s="13" t="s">
        <v>1324</v>
      </c>
      <c r="F227" s="4" t="s">
        <v>1334</v>
      </c>
      <c r="G227" s="28" t="s">
        <v>1335</v>
      </c>
      <c r="H227" s="116" t="s">
        <v>1233</v>
      </c>
      <c r="I227" s="116" t="s">
        <v>993</v>
      </c>
      <c r="J227"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8" spans="1:10" ht="29" customHeight="1" x14ac:dyDescent="0.2">
      <c r="C228" s="154" t="s">
        <v>1336</v>
      </c>
      <c r="E228" s="4" t="s">
        <v>1337</v>
      </c>
      <c r="F228" s="4" t="s">
        <v>1334</v>
      </c>
      <c r="G228" s="175" t="s">
        <v>1338</v>
      </c>
      <c r="H228" s="116" t="s">
        <v>1233</v>
      </c>
      <c r="I228" s="116" t="s">
        <v>993</v>
      </c>
      <c r="J228"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9" spans="1:10" ht="48" x14ac:dyDescent="0.2">
      <c r="B229" s="624" t="s">
        <v>563</v>
      </c>
      <c r="C229" s="154" t="s">
        <v>1329</v>
      </c>
      <c r="D229" s="4" t="s">
        <v>1330</v>
      </c>
      <c r="E229" s="13" t="s">
        <v>1324</v>
      </c>
      <c r="F229" s="4" t="s">
        <v>1331</v>
      </c>
      <c r="G229" s="175" t="s">
        <v>1332</v>
      </c>
      <c r="H229" s="116" t="s">
        <v>1233</v>
      </c>
      <c r="I229" s="116" t="s">
        <v>840</v>
      </c>
      <c r="J229"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0" spans="1:10" ht="43.25" customHeight="1" x14ac:dyDescent="0.2">
      <c r="C230" s="154" t="s">
        <v>1333</v>
      </c>
      <c r="D230" s="628" t="s">
        <v>846</v>
      </c>
      <c r="E230" s="13" t="s">
        <v>1324</v>
      </c>
      <c r="F230" s="4" t="s">
        <v>1334</v>
      </c>
      <c r="G230" s="28" t="s">
        <v>1335</v>
      </c>
      <c r="H230" s="116" t="s">
        <v>1233</v>
      </c>
      <c r="I230" s="116" t="s">
        <v>993</v>
      </c>
      <c r="J230"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1" spans="1:10" ht="29" customHeight="1" x14ac:dyDescent="0.2">
      <c r="C231" s="154" t="s">
        <v>1336</v>
      </c>
      <c r="E231" s="4" t="s">
        <v>1337</v>
      </c>
      <c r="F231" s="4" t="s">
        <v>1334</v>
      </c>
      <c r="G231" s="175" t="s">
        <v>1338</v>
      </c>
      <c r="H231" s="116" t="s">
        <v>1233</v>
      </c>
      <c r="I231" s="116" t="s">
        <v>993</v>
      </c>
      <c r="J231"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2" spans="1:10" ht="43.25" customHeight="1" x14ac:dyDescent="0.2">
      <c r="C232" s="154" t="s">
        <v>1343</v>
      </c>
      <c r="D232" s="628" t="s">
        <v>1330</v>
      </c>
      <c r="E232" s="4" t="s">
        <v>1324</v>
      </c>
      <c r="F232" s="4" t="s">
        <v>1007</v>
      </c>
      <c r="G232" s="165" t="s">
        <v>1344</v>
      </c>
      <c r="H232" s="116" t="s">
        <v>1025</v>
      </c>
      <c r="I232" s="116" t="s">
        <v>840</v>
      </c>
      <c r="J232"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3" spans="1:10" ht="43.25" customHeight="1" x14ac:dyDescent="0.2">
      <c r="C233" s="154" t="s">
        <v>1345</v>
      </c>
      <c r="E233" s="13" t="s">
        <v>1346</v>
      </c>
      <c r="F233" s="4" t="s">
        <v>1193</v>
      </c>
      <c r="G233" s="175" t="s">
        <v>1347</v>
      </c>
      <c r="H233" s="116" t="s">
        <v>1233</v>
      </c>
      <c r="I233" s="116" t="s">
        <v>859</v>
      </c>
      <c r="J233"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4" spans="1:10" ht="43.25" customHeight="1" x14ac:dyDescent="0.2">
      <c r="C234" s="154" t="s">
        <v>1333</v>
      </c>
      <c r="D234" s="628" t="s">
        <v>846</v>
      </c>
      <c r="E234" s="13" t="s">
        <v>1324</v>
      </c>
      <c r="F234" s="4" t="s">
        <v>1334</v>
      </c>
      <c r="G234" s="28" t="s">
        <v>1335</v>
      </c>
      <c r="H234" s="116" t="s">
        <v>1233</v>
      </c>
      <c r="I234" s="116" t="s">
        <v>993</v>
      </c>
      <c r="J234"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5" spans="1:10" ht="29" customHeight="1" x14ac:dyDescent="0.2">
      <c r="C235" s="154" t="s">
        <v>1336</v>
      </c>
      <c r="E235" s="4" t="s">
        <v>1337</v>
      </c>
      <c r="F235" s="4" t="s">
        <v>1334</v>
      </c>
      <c r="G235" s="175" t="s">
        <v>1338</v>
      </c>
      <c r="H235" s="116" t="s">
        <v>1233</v>
      </c>
      <c r="I235" s="116" t="s">
        <v>993</v>
      </c>
      <c r="J235"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6" spans="1:10" ht="48" x14ac:dyDescent="0.2">
      <c r="B236" s="623" t="s">
        <v>568</v>
      </c>
      <c r="C236" s="154" t="s">
        <v>1197</v>
      </c>
      <c r="D236" s="4" t="s">
        <v>1330</v>
      </c>
      <c r="E236" s="13" t="s">
        <v>1324</v>
      </c>
      <c r="F236" s="4" t="s">
        <v>1007</v>
      </c>
      <c r="G236" s="175" t="s">
        <v>1325</v>
      </c>
      <c r="H236" s="116" t="s">
        <v>838</v>
      </c>
      <c r="I236" s="116" t="s">
        <v>840</v>
      </c>
      <c r="J236"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7" spans="1:10" ht="29" customHeight="1" x14ac:dyDescent="0.2">
      <c r="C237" s="154" t="s">
        <v>1326</v>
      </c>
      <c r="D237" s="4" t="s">
        <v>846</v>
      </c>
      <c r="E237" s="177" t="s">
        <v>1327</v>
      </c>
      <c r="F237" s="4" t="s">
        <v>1193</v>
      </c>
      <c r="G237" s="175" t="s">
        <v>1328</v>
      </c>
      <c r="H237" s="116" t="s">
        <v>838</v>
      </c>
      <c r="I237" s="116" t="s">
        <v>840</v>
      </c>
      <c r="J237"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8" spans="1:10" ht="43.25" customHeight="1" x14ac:dyDescent="0.2">
      <c r="C238" s="154" t="s">
        <v>1329</v>
      </c>
      <c r="D238" s="4" t="s">
        <v>1330</v>
      </c>
      <c r="E238" s="13" t="s">
        <v>1324</v>
      </c>
      <c r="F238" s="4" t="s">
        <v>1331</v>
      </c>
      <c r="G238" s="175" t="s">
        <v>1332</v>
      </c>
      <c r="H238" s="116" t="s">
        <v>1233</v>
      </c>
      <c r="I238" s="116" t="s">
        <v>840</v>
      </c>
      <c r="J238"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9" spans="1:10" ht="43.25" customHeight="1" x14ac:dyDescent="0.2">
      <c r="C239" s="154" t="s">
        <v>1333</v>
      </c>
      <c r="D239" s="628" t="s">
        <v>846</v>
      </c>
      <c r="E239" s="13" t="s">
        <v>1324</v>
      </c>
      <c r="F239" s="4" t="s">
        <v>1334</v>
      </c>
      <c r="G239" s="28" t="s">
        <v>1335</v>
      </c>
      <c r="H239" s="116" t="s">
        <v>1233</v>
      </c>
      <c r="I239" s="116" t="s">
        <v>993</v>
      </c>
      <c r="J239"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0" spans="1:10" ht="29" customHeight="1" x14ac:dyDescent="0.2">
      <c r="C240" s="154" t="s">
        <v>1336</v>
      </c>
      <c r="E240" s="4" t="s">
        <v>1337</v>
      </c>
      <c r="F240" s="4" t="s">
        <v>1334</v>
      </c>
      <c r="G240" s="175" t="s">
        <v>1338</v>
      </c>
      <c r="H240" s="116" t="s">
        <v>1233</v>
      </c>
      <c r="I240" s="116" t="s">
        <v>993</v>
      </c>
      <c r="J240"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1" spans="1:10" ht="43.25" customHeight="1" x14ac:dyDescent="0.2">
      <c r="C241" s="154" t="s">
        <v>1343</v>
      </c>
      <c r="D241" s="628" t="s">
        <v>1330</v>
      </c>
      <c r="E241" s="4" t="s">
        <v>1324</v>
      </c>
      <c r="F241" s="4" t="s">
        <v>1007</v>
      </c>
      <c r="G241" s="165" t="s">
        <v>1344</v>
      </c>
      <c r="H241" s="116" t="s">
        <v>1025</v>
      </c>
      <c r="I241" s="116" t="s">
        <v>840</v>
      </c>
      <c r="J241"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2" spans="1:10" ht="43.25" customHeight="1" x14ac:dyDescent="0.2">
      <c r="C242" s="154" t="s">
        <v>1345</v>
      </c>
      <c r="E242" s="13" t="s">
        <v>1346</v>
      </c>
      <c r="F242" s="4" t="s">
        <v>1193</v>
      </c>
      <c r="G242" s="175" t="s">
        <v>1347</v>
      </c>
      <c r="H242" s="116" t="s">
        <v>1233</v>
      </c>
      <c r="I242" s="116" t="s">
        <v>859</v>
      </c>
      <c r="J242"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3" spans="1:10" ht="43.25" customHeight="1" x14ac:dyDescent="0.2">
      <c r="C243" s="154" t="s">
        <v>1333</v>
      </c>
      <c r="D243" s="628" t="s">
        <v>846</v>
      </c>
      <c r="E243" s="13" t="s">
        <v>1324</v>
      </c>
      <c r="F243" s="4" t="s">
        <v>1334</v>
      </c>
      <c r="G243" s="28" t="s">
        <v>1335</v>
      </c>
      <c r="H243" s="116" t="s">
        <v>1233</v>
      </c>
      <c r="I243" s="116" t="s">
        <v>993</v>
      </c>
      <c r="J243"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4" spans="1:10" ht="29" customHeight="1" x14ac:dyDescent="0.2">
      <c r="C244" s="154" t="s">
        <v>1336</v>
      </c>
      <c r="E244" s="4" t="s">
        <v>1337</v>
      </c>
      <c r="F244" s="4" t="s">
        <v>1334</v>
      </c>
      <c r="G244" s="175" t="s">
        <v>1338</v>
      </c>
      <c r="H244" s="116" t="s">
        <v>1233</v>
      </c>
      <c r="I244" s="116" t="s">
        <v>993</v>
      </c>
      <c r="J244"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5" spans="1:10" ht="48" x14ac:dyDescent="0.2">
      <c r="B245" s="623" t="s">
        <v>576</v>
      </c>
      <c r="C245" s="154" t="s">
        <v>1197</v>
      </c>
      <c r="D245" s="628" t="s">
        <v>1330</v>
      </c>
      <c r="E245" s="13" t="s">
        <v>1324</v>
      </c>
      <c r="F245" s="4" t="s">
        <v>1007</v>
      </c>
      <c r="G245" s="175" t="s">
        <v>1325</v>
      </c>
      <c r="H245" s="116" t="s">
        <v>838</v>
      </c>
      <c r="I245" s="116" t="s">
        <v>840</v>
      </c>
      <c r="J245"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6" spans="1:10" ht="43.25" customHeight="1" x14ac:dyDescent="0.2">
      <c r="C246" s="154" t="s">
        <v>1352</v>
      </c>
      <c r="E246" s="13" t="s">
        <v>1324</v>
      </c>
      <c r="F246" s="4" t="s">
        <v>1193</v>
      </c>
      <c r="G246" s="165" t="s">
        <v>1353</v>
      </c>
      <c r="H246" s="116" t="s">
        <v>850</v>
      </c>
      <c r="I246" s="116" t="s">
        <v>840</v>
      </c>
      <c r="J246"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7" spans="1:10" ht="29" customHeight="1" x14ac:dyDescent="0.2">
      <c r="C247" s="154" t="s">
        <v>1326</v>
      </c>
      <c r="D247" s="4" t="s">
        <v>846</v>
      </c>
      <c r="E247" s="177" t="s">
        <v>1327</v>
      </c>
      <c r="F247" s="4" t="s">
        <v>1193</v>
      </c>
      <c r="G247" s="175" t="s">
        <v>1328</v>
      </c>
      <c r="H247" s="116" t="s">
        <v>838</v>
      </c>
      <c r="I247" s="116" t="s">
        <v>840</v>
      </c>
      <c r="J247"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8" spans="1:10" ht="43.25" customHeight="1" x14ac:dyDescent="0.2">
      <c r="C248" s="154" t="s">
        <v>1329</v>
      </c>
      <c r="D248" s="4" t="s">
        <v>1330</v>
      </c>
      <c r="E248" s="13" t="s">
        <v>1324</v>
      </c>
      <c r="F248" s="4" t="s">
        <v>1331</v>
      </c>
      <c r="G248" s="175" t="s">
        <v>1332</v>
      </c>
      <c r="H248" s="116" t="s">
        <v>1233</v>
      </c>
      <c r="I248" s="116" t="s">
        <v>840</v>
      </c>
      <c r="J248"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9" spans="1:10" ht="43.25" customHeight="1" x14ac:dyDescent="0.2">
      <c r="C249" s="154" t="s">
        <v>1333</v>
      </c>
      <c r="D249" s="628" t="s">
        <v>846</v>
      </c>
      <c r="E249" s="13" t="s">
        <v>1324</v>
      </c>
      <c r="F249" s="4" t="s">
        <v>1334</v>
      </c>
      <c r="G249" s="28" t="s">
        <v>1335</v>
      </c>
      <c r="H249" s="116" t="s">
        <v>1233</v>
      </c>
      <c r="I249" s="116" t="s">
        <v>993</v>
      </c>
      <c r="J249"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0" spans="1:10" ht="29" customHeight="1" x14ac:dyDescent="0.2">
      <c r="C250" s="154" t="s">
        <v>1336</v>
      </c>
      <c r="E250" s="4" t="s">
        <v>1337</v>
      </c>
      <c r="F250" s="4" t="s">
        <v>1334</v>
      </c>
      <c r="G250" s="175" t="s">
        <v>1338</v>
      </c>
      <c r="H250" s="116" t="s">
        <v>1233</v>
      </c>
      <c r="I250" s="116" t="s">
        <v>993</v>
      </c>
      <c r="J250"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1" spans="1:10" ht="43.25" customHeight="1" x14ac:dyDescent="0.2">
      <c r="C251" s="154" t="s">
        <v>1343</v>
      </c>
      <c r="D251" s="628" t="s">
        <v>1330</v>
      </c>
      <c r="E251" s="4" t="s">
        <v>1324</v>
      </c>
      <c r="F251" s="4" t="s">
        <v>1007</v>
      </c>
      <c r="G251" s="165" t="s">
        <v>1344</v>
      </c>
      <c r="H251" s="116" t="s">
        <v>1025</v>
      </c>
      <c r="I251" s="116" t="s">
        <v>840</v>
      </c>
      <c r="J251"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2" spans="1:10" ht="43.25" customHeight="1" x14ac:dyDescent="0.2">
      <c r="C252" s="154" t="s">
        <v>1345</v>
      </c>
      <c r="E252" s="13" t="s">
        <v>1346</v>
      </c>
      <c r="F252" s="4" t="s">
        <v>1193</v>
      </c>
      <c r="G252" s="175" t="s">
        <v>1347</v>
      </c>
      <c r="H252" s="116" t="s">
        <v>1233</v>
      </c>
      <c r="I252" s="116" t="s">
        <v>859</v>
      </c>
      <c r="J252"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3" spans="1:10" ht="43.25" customHeight="1" x14ac:dyDescent="0.2">
      <c r="C253" s="154" t="s">
        <v>1333</v>
      </c>
      <c r="D253" s="628" t="s">
        <v>846</v>
      </c>
      <c r="E253" s="13" t="s">
        <v>1324</v>
      </c>
      <c r="F253" s="4" t="s">
        <v>1334</v>
      </c>
      <c r="G253" s="28" t="s">
        <v>1335</v>
      </c>
      <c r="H253" s="116" t="s">
        <v>1233</v>
      </c>
      <c r="I253" s="116" t="s">
        <v>993</v>
      </c>
      <c r="J253"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4" spans="1:10" ht="29" customHeight="1" x14ac:dyDescent="0.2">
      <c r="C254" s="154" t="s">
        <v>1336</v>
      </c>
      <c r="E254" s="4" t="s">
        <v>1337</v>
      </c>
      <c r="F254" s="4" t="s">
        <v>1334</v>
      </c>
      <c r="G254" s="175" t="s">
        <v>1338</v>
      </c>
      <c r="H254" s="116" t="s">
        <v>1233</v>
      </c>
      <c r="I254" s="116" t="s">
        <v>993</v>
      </c>
      <c r="J254"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5" spans="1:10" ht="48" x14ac:dyDescent="0.2">
      <c r="B255" s="623" t="s">
        <v>582</v>
      </c>
      <c r="C255" s="154" t="s">
        <v>1197</v>
      </c>
      <c r="D255" s="628" t="s">
        <v>1330</v>
      </c>
      <c r="E255" s="13" t="s">
        <v>1324</v>
      </c>
      <c r="F255" s="4" t="s">
        <v>1007</v>
      </c>
      <c r="G255" s="175" t="s">
        <v>1325</v>
      </c>
      <c r="H255" s="116" t="s">
        <v>838</v>
      </c>
      <c r="I255" s="116" t="s">
        <v>840</v>
      </c>
      <c r="J255"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6" spans="1:10" ht="43.25" customHeight="1" x14ac:dyDescent="0.2">
      <c r="C256" s="154" t="s">
        <v>1352</v>
      </c>
      <c r="E256" s="13" t="s">
        <v>1324</v>
      </c>
      <c r="F256" s="4" t="s">
        <v>1193</v>
      </c>
      <c r="G256" s="165" t="s">
        <v>1353</v>
      </c>
      <c r="H256" s="116" t="s">
        <v>850</v>
      </c>
      <c r="I256" s="116" t="s">
        <v>840</v>
      </c>
      <c r="J256"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7" spans="1:10" ht="29" customHeight="1" x14ac:dyDescent="0.2">
      <c r="C257" s="154" t="s">
        <v>1326</v>
      </c>
      <c r="D257" s="4" t="s">
        <v>846</v>
      </c>
      <c r="E257" s="177" t="s">
        <v>1327</v>
      </c>
      <c r="F257" s="4" t="s">
        <v>1193</v>
      </c>
      <c r="G257" s="175" t="s">
        <v>1328</v>
      </c>
      <c r="H257" s="116" t="s">
        <v>838</v>
      </c>
      <c r="I257" s="116" t="s">
        <v>840</v>
      </c>
      <c r="J257"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8" spans="1:10" ht="43.25" customHeight="1" x14ac:dyDescent="0.2">
      <c r="C258" s="154" t="s">
        <v>1329</v>
      </c>
      <c r="D258" s="4" t="s">
        <v>1330</v>
      </c>
      <c r="E258" s="13" t="s">
        <v>1324</v>
      </c>
      <c r="F258" s="4" t="s">
        <v>1331</v>
      </c>
      <c r="G258" s="175" t="s">
        <v>1332</v>
      </c>
      <c r="H258" s="116" t="s">
        <v>1233</v>
      </c>
      <c r="I258" s="116" t="s">
        <v>840</v>
      </c>
      <c r="J258"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9" spans="1:10" ht="43.25" customHeight="1" x14ac:dyDescent="0.2">
      <c r="C259" s="154" t="s">
        <v>1333</v>
      </c>
      <c r="D259" s="628" t="s">
        <v>846</v>
      </c>
      <c r="E259" s="13" t="s">
        <v>1324</v>
      </c>
      <c r="F259" s="4" t="s">
        <v>1334</v>
      </c>
      <c r="G259" s="28" t="s">
        <v>1335</v>
      </c>
      <c r="H259" s="116" t="s">
        <v>1233</v>
      </c>
      <c r="I259" s="116" t="s">
        <v>993</v>
      </c>
      <c r="J259"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0" spans="1:10" ht="29" customHeight="1" x14ac:dyDescent="0.2">
      <c r="C260" s="154" t="s">
        <v>1336</v>
      </c>
      <c r="E260" s="4" t="s">
        <v>1337</v>
      </c>
      <c r="F260" s="4" t="s">
        <v>1334</v>
      </c>
      <c r="G260" s="175" t="s">
        <v>1338</v>
      </c>
      <c r="H260" s="116" t="s">
        <v>1233</v>
      </c>
      <c r="I260" s="116" t="s">
        <v>993</v>
      </c>
      <c r="J260"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1" spans="1:10" ht="43.25" customHeight="1" x14ac:dyDescent="0.2">
      <c r="C261" s="154" t="s">
        <v>1343</v>
      </c>
      <c r="D261" s="628" t="s">
        <v>1330</v>
      </c>
      <c r="E261" s="4" t="s">
        <v>1324</v>
      </c>
      <c r="F261" s="4" t="s">
        <v>1007</v>
      </c>
      <c r="G261" s="165" t="s">
        <v>1344</v>
      </c>
      <c r="H261" s="116" t="s">
        <v>1025</v>
      </c>
      <c r="I261" s="116" t="s">
        <v>840</v>
      </c>
      <c r="J261"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2" spans="1:10" ht="43.25" customHeight="1" x14ac:dyDescent="0.2">
      <c r="C262" s="154" t="s">
        <v>1345</v>
      </c>
      <c r="E262" s="13" t="s">
        <v>1346</v>
      </c>
      <c r="F262" s="4" t="s">
        <v>1193</v>
      </c>
      <c r="G262" s="175" t="s">
        <v>1347</v>
      </c>
      <c r="H262" s="116" t="s">
        <v>1233</v>
      </c>
      <c r="I262" s="116" t="s">
        <v>859</v>
      </c>
      <c r="J262"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3" spans="1:10" ht="43.25" customHeight="1" x14ac:dyDescent="0.2">
      <c r="C263" s="154" t="s">
        <v>1333</v>
      </c>
      <c r="D263" s="628" t="s">
        <v>846</v>
      </c>
      <c r="E263" s="13" t="s">
        <v>1324</v>
      </c>
      <c r="F263" s="4" t="s">
        <v>1334</v>
      </c>
      <c r="G263" s="28" t="s">
        <v>1335</v>
      </c>
      <c r="H263" s="116" t="s">
        <v>1233</v>
      </c>
      <c r="I263" s="116" t="s">
        <v>993</v>
      </c>
      <c r="J263"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4" spans="1:10" ht="29" customHeight="1" x14ac:dyDescent="0.2">
      <c r="C264" s="154" t="s">
        <v>1336</v>
      </c>
      <c r="E264" s="4" t="s">
        <v>1337</v>
      </c>
      <c r="F264" s="4" t="s">
        <v>1334</v>
      </c>
      <c r="G264" s="175" t="s">
        <v>1338</v>
      </c>
      <c r="H264" s="116" t="s">
        <v>1233</v>
      </c>
      <c r="I264" s="116" t="s">
        <v>993</v>
      </c>
      <c r="J264"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5" spans="1:10" ht="48" x14ac:dyDescent="0.2">
      <c r="B265" s="623" t="s">
        <v>586</v>
      </c>
      <c r="C265" s="154" t="s">
        <v>1197</v>
      </c>
      <c r="D265" s="628" t="s">
        <v>1330</v>
      </c>
      <c r="E265" s="13" t="s">
        <v>1324</v>
      </c>
      <c r="F265" s="4" t="s">
        <v>1007</v>
      </c>
      <c r="G265" s="175" t="s">
        <v>1325</v>
      </c>
      <c r="H265" s="116" t="s">
        <v>838</v>
      </c>
      <c r="I265" s="116" t="s">
        <v>840</v>
      </c>
      <c r="J265"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6" spans="1:10" ht="43.25" customHeight="1" x14ac:dyDescent="0.2">
      <c r="C266" s="154" t="s">
        <v>1352</v>
      </c>
      <c r="E266" s="13" t="s">
        <v>1324</v>
      </c>
      <c r="F266" s="4" t="s">
        <v>1193</v>
      </c>
      <c r="G266" s="165" t="s">
        <v>1353</v>
      </c>
      <c r="H266" s="116" t="s">
        <v>850</v>
      </c>
      <c r="I266" s="116" t="s">
        <v>840</v>
      </c>
      <c r="J266"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7" spans="1:10" ht="29" customHeight="1" x14ac:dyDescent="0.2">
      <c r="C267" s="154" t="s">
        <v>1326</v>
      </c>
      <c r="D267" s="4" t="s">
        <v>846</v>
      </c>
      <c r="E267" s="177" t="s">
        <v>1327</v>
      </c>
      <c r="F267" s="4" t="s">
        <v>1193</v>
      </c>
      <c r="G267" s="175" t="s">
        <v>1328</v>
      </c>
      <c r="H267" s="116" t="s">
        <v>838</v>
      </c>
      <c r="I267" s="116" t="s">
        <v>840</v>
      </c>
      <c r="J267"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8" spans="1:10" ht="43.25" customHeight="1" x14ac:dyDescent="0.2">
      <c r="C268" s="154" t="s">
        <v>1329</v>
      </c>
      <c r="D268" s="4" t="s">
        <v>1330</v>
      </c>
      <c r="E268" s="13" t="s">
        <v>1324</v>
      </c>
      <c r="F268" s="4" t="s">
        <v>1331</v>
      </c>
      <c r="G268" s="175" t="s">
        <v>1332</v>
      </c>
      <c r="H268" s="116" t="s">
        <v>1233</v>
      </c>
      <c r="I268" s="116" t="s">
        <v>840</v>
      </c>
      <c r="J268"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9" spans="1:10" ht="43.25" customHeight="1" x14ac:dyDescent="0.2">
      <c r="C269" s="154" t="s">
        <v>1333</v>
      </c>
      <c r="D269" s="628" t="s">
        <v>846</v>
      </c>
      <c r="E269" s="13" t="s">
        <v>1324</v>
      </c>
      <c r="F269" s="4" t="s">
        <v>1334</v>
      </c>
      <c r="G269" s="28" t="s">
        <v>1335</v>
      </c>
      <c r="H269" s="116" t="s">
        <v>1233</v>
      </c>
      <c r="I269" s="116" t="s">
        <v>993</v>
      </c>
      <c r="J269"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0" spans="1:10" ht="29" customHeight="1" x14ac:dyDescent="0.2">
      <c r="C270" s="154" t="s">
        <v>1336</v>
      </c>
      <c r="E270" s="4" t="s">
        <v>1337</v>
      </c>
      <c r="F270" s="4" t="s">
        <v>1334</v>
      </c>
      <c r="G270" s="175" t="s">
        <v>1338</v>
      </c>
      <c r="H270" s="116" t="s">
        <v>1233</v>
      </c>
      <c r="I270" s="116" t="s">
        <v>993</v>
      </c>
      <c r="J270"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1" spans="1:10" ht="43.25" customHeight="1" x14ac:dyDescent="0.2">
      <c r="C271" s="154" t="s">
        <v>1343</v>
      </c>
      <c r="D271" s="628" t="s">
        <v>1330</v>
      </c>
      <c r="E271" s="4" t="s">
        <v>1324</v>
      </c>
      <c r="F271" s="4" t="s">
        <v>1007</v>
      </c>
      <c r="G271" s="165" t="s">
        <v>1344</v>
      </c>
      <c r="H271" s="116" t="s">
        <v>1025</v>
      </c>
      <c r="I271" s="116" t="s">
        <v>840</v>
      </c>
      <c r="J271"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2" spans="1:10" ht="43.25" customHeight="1" x14ac:dyDescent="0.2">
      <c r="C272" s="154" t="s">
        <v>1345</v>
      </c>
      <c r="E272" s="13" t="s">
        <v>1346</v>
      </c>
      <c r="F272" s="4" t="s">
        <v>1193</v>
      </c>
      <c r="G272" s="175" t="s">
        <v>1347</v>
      </c>
      <c r="H272" s="116" t="s">
        <v>1233</v>
      </c>
      <c r="I272" s="116" t="s">
        <v>859</v>
      </c>
      <c r="J272"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3" spans="1:10" ht="43.25" customHeight="1" x14ac:dyDescent="0.2">
      <c r="C273" s="154" t="s">
        <v>1333</v>
      </c>
      <c r="D273" s="628" t="s">
        <v>846</v>
      </c>
      <c r="E273" s="13" t="s">
        <v>1324</v>
      </c>
      <c r="F273" s="4" t="s">
        <v>1334</v>
      </c>
      <c r="G273" s="28" t="s">
        <v>1335</v>
      </c>
      <c r="H273" s="116" t="s">
        <v>1233</v>
      </c>
      <c r="I273" s="116" t="s">
        <v>993</v>
      </c>
      <c r="J273"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4" spans="1:10" ht="29" customHeight="1" x14ac:dyDescent="0.2">
      <c r="C274" s="154" t="s">
        <v>1336</v>
      </c>
      <c r="E274" s="4" t="s">
        <v>1337</v>
      </c>
      <c r="F274" s="4" t="s">
        <v>1334</v>
      </c>
      <c r="G274" s="175" t="s">
        <v>1338</v>
      </c>
      <c r="H274" s="116" t="s">
        <v>1233</v>
      </c>
      <c r="I274" s="116" t="s">
        <v>993</v>
      </c>
      <c r="J274"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5" spans="1:10" ht="48" x14ac:dyDescent="0.2">
      <c r="B275" s="623" t="s">
        <v>592</v>
      </c>
      <c r="C275" s="154" t="s">
        <v>1197</v>
      </c>
      <c r="D275" s="4" t="s">
        <v>1330</v>
      </c>
      <c r="E275" s="13" t="s">
        <v>1324</v>
      </c>
      <c r="F275" s="4" t="s">
        <v>1007</v>
      </c>
      <c r="G275" s="175" t="s">
        <v>1325</v>
      </c>
      <c r="H275" s="116" t="s">
        <v>838</v>
      </c>
      <c r="I275" s="116" t="s">
        <v>840</v>
      </c>
      <c r="J275"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6" spans="1:10" ht="29" customHeight="1" x14ac:dyDescent="0.2">
      <c r="C276" s="154" t="s">
        <v>1326</v>
      </c>
      <c r="D276" s="4" t="s">
        <v>846</v>
      </c>
      <c r="E276" s="177" t="s">
        <v>1327</v>
      </c>
      <c r="F276" s="4" t="s">
        <v>1193</v>
      </c>
      <c r="G276" s="175" t="s">
        <v>1328</v>
      </c>
      <c r="H276" s="116" t="s">
        <v>838</v>
      </c>
      <c r="I276" s="116" t="s">
        <v>840</v>
      </c>
      <c r="J276" s="176"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7" spans="1:10" ht="43.25" customHeight="1" x14ac:dyDescent="0.2">
      <c r="C277" s="154" t="s">
        <v>1329</v>
      </c>
      <c r="D277" s="4" t="s">
        <v>1330</v>
      </c>
      <c r="E277" s="13" t="s">
        <v>1324</v>
      </c>
      <c r="F277" s="4" t="s">
        <v>1331</v>
      </c>
      <c r="G277" s="175" t="s">
        <v>1332</v>
      </c>
      <c r="H277" s="116" t="s">
        <v>1233</v>
      </c>
      <c r="I277" s="116" t="s">
        <v>840</v>
      </c>
      <c r="J277"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8" spans="1:10" ht="43.25" customHeight="1" x14ac:dyDescent="0.2">
      <c r="C278" s="154" t="s">
        <v>1333</v>
      </c>
      <c r="D278" s="628" t="s">
        <v>846</v>
      </c>
      <c r="E278" s="13" t="s">
        <v>1324</v>
      </c>
      <c r="F278" s="4" t="s">
        <v>1334</v>
      </c>
      <c r="G278" s="28" t="s">
        <v>1335</v>
      </c>
      <c r="H278" s="116" t="s">
        <v>1233</v>
      </c>
      <c r="I278" s="116" t="s">
        <v>993</v>
      </c>
      <c r="J278"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9" spans="1:10" ht="29" customHeight="1" x14ac:dyDescent="0.2">
      <c r="C279" s="154" t="s">
        <v>1336</v>
      </c>
      <c r="E279" s="4" t="s">
        <v>1337</v>
      </c>
      <c r="F279" s="4" t="s">
        <v>1334</v>
      </c>
      <c r="G279" s="175" t="s">
        <v>1338</v>
      </c>
      <c r="H279" s="116" t="s">
        <v>1233</v>
      </c>
      <c r="I279" s="116" t="s">
        <v>993</v>
      </c>
      <c r="J279"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0" spans="1:10" ht="43.25" customHeight="1" x14ac:dyDescent="0.2">
      <c r="C280" s="154" t="s">
        <v>1343</v>
      </c>
      <c r="D280" s="628" t="s">
        <v>1330</v>
      </c>
      <c r="E280" s="4" t="s">
        <v>1324</v>
      </c>
      <c r="F280" s="4" t="s">
        <v>1007</v>
      </c>
      <c r="G280" s="165" t="s">
        <v>1344</v>
      </c>
      <c r="H280" s="116" t="s">
        <v>1025</v>
      </c>
      <c r="I280" s="116" t="s">
        <v>840</v>
      </c>
      <c r="J280"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1" spans="1:10" ht="43.25" customHeight="1" x14ac:dyDescent="0.2">
      <c r="C281" s="154" t="s">
        <v>1345</v>
      </c>
      <c r="E281" s="13" t="s">
        <v>1346</v>
      </c>
      <c r="F281" s="4" t="s">
        <v>1193</v>
      </c>
      <c r="G281" s="175" t="s">
        <v>1347</v>
      </c>
      <c r="H281" s="116" t="s">
        <v>1233</v>
      </c>
      <c r="I281" s="116" t="s">
        <v>859</v>
      </c>
      <c r="J281"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2" spans="1:10" ht="43.25" customHeight="1" x14ac:dyDescent="0.2">
      <c r="C282" s="154" t="s">
        <v>1333</v>
      </c>
      <c r="D282" s="628" t="s">
        <v>846</v>
      </c>
      <c r="E282" s="13" t="s">
        <v>1324</v>
      </c>
      <c r="F282" s="4" t="s">
        <v>1334</v>
      </c>
      <c r="G282" s="28" t="s">
        <v>1335</v>
      </c>
      <c r="H282" s="116" t="s">
        <v>1233</v>
      </c>
      <c r="I282" s="116" t="s">
        <v>993</v>
      </c>
      <c r="J282"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3" spans="1:10" ht="29" customHeight="1" x14ac:dyDescent="0.2">
      <c r="C283" s="154" t="s">
        <v>1336</v>
      </c>
      <c r="E283" s="4" t="s">
        <v>1337</v>
      </c>
      <c r="F283" s="4" t="s">
        <v>1334</v>
      </c>
      <c r="G283" s="175" t="s">
        <v>1338</v>
      </c>
      <c r="H283" s="116" t="s">
        <v>1233</v>
      </c>
      <c r="I283" s="116" t="s">
        <v>993</v>
      </c>
      <c r="J283"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4" spans="1:10" ht="48" x14ac:dyDescent="0.2">
      <c r="B284" s="623" t="s">
        <v>1354</v>
      </c>
      <c r="C284" s="154" t="s">
        <v>1197</v>
      </c>
      <c r="D284" s="4" t="s">
        <v>1330</v>
      </c>
      <c r="E284" s="13" t="s">
        <v>1324</v>
      </c>
      <c r="F284" s="4" t="s">
        <v>1007</v>
      </c>
      <c r="G284" s="175" t="s">
        <v>1325</v>
      </c>
      <c r="H284" s="116" t="s">
        <v>838</v>
      </c>
      <c r="I284" s="116" t="s">
        <v>859</v>
      </c>
      <c r="J284"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5" spans="1:10" ht="29" customHeight="1" x14ac:dyDescent="0.2">
      <c r="C285" s="154" t="s">
        <v>1326</v>
      </c>
      <c r="D285" s="4" t="s">
        <v>846</v>
      </c>
      <c r="E285" s="177" t="s">
        <v>1327</v>
      </c>
      <c r="F285" s="4" t="s">
        <v>1193</v>
      </c>
      <c r="G285" s="175" t="s">
        <v>1328</v>
      </c>
      <c r="H285" s="116" t="s">
        <v>838</v>
      </c>
      <c r="I285" s="116" t="s">
        <v>859</v>
      </c>
      <c r="J285"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6" spans="1:10" ht="43.25" customHeight="1" x14ac:dyDescent="0.2">
      <c r="C286" s="154" t="s">
        <v>1329</v>
      </c>
      <c r="D286" s="4" t="s">
        <v>1330</v>
      </c>
      <c r="E286" s="13" t="s">
        <v>1324</v>
      </c>
      <c r="F286" s="4" t="s">
        <v>1331</v>
      </c>
      <c r="G286" s="175" t="s">
        <v>1332</v>
      </c>
      <c r="H286" s="116" t="s">
        <v>1233</v>
      </c>
      <c r="I286" s="116" t="s">
        <v>840</v>
      </c>
      <c r="J286"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7" spans="1:10" ht="43.25" customHeight="1" x14ac:dyDescent="0.2">
      <c r="C287" s="154" t="s">
        <v>1333</v>
      </c>
      <c r="D287" s="628" t="s">
        <v>846</v>
      </c>
      <c r="E287" s="13" t="s">
        <v>1324</v>
      </c>
      <c r="F287" s="4" t="s">
        <v>1334</v>
      </c>
      <c r="G287" s="28" t="s">
        <v>1335</v>
      </c>
      <c r="H287" s="116" t="s">
        <v>1233</v>
      </c>
      <c r="I287" s="116" t="s">
        <v>993</v>
      </c>
      <c r="J287"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8" spans="1:10" ht="29" customHeight="1" x14ac:dyDescent="0.2">
      <c r="C288" s="154" t="s">
        <v>1336</v>
      </c>
      <c r="E288" s="4" t="s">
        <v>1337</v>
      </c>
      <c r="F288" s="4" t="s">
        <v>1334</v>
      </c>
      <c r="G288" s="175" t="s">
        <v>1338</v>
      </c>
      <c r="H288" s="116" t="s">
        <v>1233</v>
      </c>
      <c r="I288" s="116" t="s">
        <v>993</v>
      </c>
      <c r="J288"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9" spans="1:10" ht="43.25" customHeight="1" x14ac:dyDescent="0.2">
      <c r="C289" s="154" t="s">
        <v>1343</v>
      </c>
      <c r="D289" s="628" t="s">
        <v>1330</v>
      </c>
      <c r="E289" s="4" t="s">
        <v>1324</v>
      </c>
      <c r="F289" s="4" t="s">
        <v>1007</v>
      </c>
      <c r="G289" s="165" t="s">
        <v>1344</v>
      </c>
      <c r="H289" s="116" t="s">
        <v>1025</v>
      </c>
      <c r="I289" s="116" t="s">
        <v>840</v>
      </c>
      <c r="J289" s="176"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0" spans="1:10" ht="43.25" customHeight="1" x14ac:dyDescent="0.2">
      <c r="C290" s="154" t="s">
        <v>1345</v>
      </c>
      <c r="E290" s="13" t="s">
        <v>1346</v>
      </c>
      <c r="F290" s="4" t="s">
        <v>1193</v>
      </c>
      <c r="G290" s="175" t="s">
        <v>1347</v>
      </c>
      <c r="H290" s="116" t="s">
        <v>1233</v>
      </c>
      <c r="I290" s="116" t="s">
        <v>859</v>
      </c>
      <c r="J290"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1" spans="1:10" ht="43.25" customHeight="1" x14ac:dyDescent="0.2">
      <c r="C291" s="153" t="s">
        <v>1333</v>
      </c>
      <c r="D291" s="628" t="s">
        <v>846</v>
      </c>
      <c r="E291" s="178" t="s">
        <v>1324</v>
      </c>
      <c r="F291" s="174" t="s">
        <v>1334</v>
      </c>
      <c r="G291" s="122" t="s">
        <v>1335</v>
      </c>
      <c r="H291" s="116" t="s">
        <v>1233</v>
      </c>
      <c r="I291" s="116" t="s">
        <v>993</v>
      </c>
      <c r="J291" s="179"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2" spans="1:10" ht="29" customHeight="1" x14ac:dyDescent="0.2">
      <c r="C292" s="154" t="s">
        <v>1336</v>
      </c>
      <c r="E292" s="4" t="s">
        <v>1337</v>
      </c>
      <c r="F292" s="4" t="s">
        <v>1334</v>
      </c>
      <c r="G292" s="175" t="s">
        <v>1338</v>
      </c>
      <c r="H292" s="116" t="s">
        <v>1233</v>
      </c>
      <c r="I292" s="116" t="s">
        <v>993</v>
      </c>
      <c r="J292" s="176"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4" spans="1:10" ht="14.5" customHeight="1" x14ac:dyDescent="0.2">
      <c r="A294" s="617" t="s">
        <v>602</v>
      </c>
      <c r="B294" s="616" t="s">
        <v>606</v>
      </c>
      <c r="C294" s="35" t="s">
        <v>1355</v>
      </c>
      <c r="D294" s="35" t="s">
        <v>834</v>
      </c>
      <c r="E294" s="35" t="s">
        <v>1147</v>
      </c>
      <c r="F294" s="35" t="s">
        <v>1356</v>
      </c>
      <c r="G294" s="4" t="s">
        <v>1357</v>
      </c>
      <c r="H294" s="117" t="s">
        <v>850</v>
      </c>
      <c r="I294" s="117" t="s">
        <v>840</v>
      </c>
      <c r="J294"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5" spans="1:10" ht="14.5" customHeight="1" x14ac:dyDescent="0.2">
      <c r="C295" s="35" t="s">
        <v>1358</v>
      </c>
      <c r="D295" s="35" t="s">
        <v>834</v>
      </c>
      <c r="E295" s="35" t="s">
        <v>1359</v>
      </c>
      <c r="F295" s="35" t="s">
        <v>1199</v>
      </c>
      <c r="G295" s="4" t="s">
        <v>1200</v>
      </c>
      <c r="H295" s="35" t="s">
        <v>838</v>
      </c>
      <c r="I295" s="35" t="s">
        <v>840</v>
      </c>
      <c r="J295"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6" spans="1:10" ht="14.5" customHeight="1" x14ac:dyDescent="0.2">
      <c r="C296" s="35" t="s">
        <v>1360</v>
      </c>
      <c r="D296" s="35" t="s">
        <v>846</v>
      </c>
      <c r="E296" s="35" t="s">
        <v>1361</v>
      </c>
      <c r="F296" s="35" t="s">
        <v>1190</v>
      </c>
      <c r="G296" s="4" t="s">
        <v>1362</v>
      </c>
      <c r="H296" s="35" t="s">
        <v>1025</v>
      </c>
      <c r="I296" s="35" t="s">
        <v>859</v>
      </c>
      <c r="J296"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7" spans="1:10" ht="16" x14ac:dyDescent="0.2">
      <c r="B297" s="184" t="s">
        <v>613</v>
      </c>
      <c r="C297" s="35" t="s">
        <v>1363</v>
      </c>
      <c r="D297" s="35" t="s">
        <v>834</v>
      </c>
      <c r="E297" s="35" t="s">
        <v>1147</v>
      </c>
      <c r="F297" s="35" t="s">
        <v>1187</v>
      </c>
      <c r="G297" s="4" t="s">
        <v>1188</v>
      </c>
      <c r="H297" s="35" t="s">
        <v>1025</v>
      </c>
      <c r="I297" s="35" t="s">
        <v>840</v>
      </c>
      <c r="J297"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8" spans="1:10" ht="14.5" customHeight="1" x14ac:dyDescent="0.2">
      <c r="C298" s="35" t="s">
        <v>1364</v>
      </c>
      <c r="D298" s="35" t="s">
        <v>846</v>
      </c>
      <c r="E298" s="35" t="s">
        <v>1147</v>
      </c>
      <c r="F298" s="35" t="s">
        <v>1190</v>
      </c>
      <c r="G298" s="4" t="s">
        <v>1365</v>
      </c>
      <c r="H298" s="35" t="s">
        <v>1025</v>
      </c>
      <c r="I298" s="35" t="s">
        <v>859</v>
      </c>
      <c r="J298"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9" spans="1:10" ht="14.5" customHeight="1" x14ac:dyDescent="0.2">
      <c r="C299" s="35" t="s">
        <v>1366</v>
      </c>
      <c r="D299" s="35" t="s">
        <v>834</v>
      </c>
      <c r="E299" s="35" t="s">
        <v>1359</v>
      </c>
      <c r="F299" s="35" t="s">
        <v>1199</v>
      </c>
      <c r="G299" s="4" t="s">
        <v>1200</v>
      </c>
      <c r="H299" s="35" t="s">
        <v>1025</v>
      </c>
      <c r="I299" s="35" t="s">
        <v>840</v>
      </c>
      <c r="J299"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0" spans="1:10" ht="16" x14ac:dyDescent="0.2">
      <c r="B300" s="184" t="s">
        <v>619</v>
      </c>
      <c r="C300" s="35" t="s">
        <v>1218</v>
      </c>
      <c r="D300" s="35" t="s">
        <v>834</v>
      </c>
      <c r="E300" s="35" t="s">
        <v>1361</v>
      </c>
      <c r="F300" s="35" t="s">
        <v>1193</v>
      </c>
      <c r="G300" s="4" t="s">
        <v>1367</v>
      </c>
      <c r="H300" s="35" t="s">
        <v>838</v>
      </c>
      <c r="I300" s="35" t="s">
        <v>840</v>
      </c>
      <c r="J300"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1" spans="1:10" ht="14.5" customHeight="1" x14ac:dyDescent="0.2">
      <c r="C301" s="35" t="s">
        <v>1368</v>
      </c>
      <c r="D301" s="35" t="s">
        <v>834</v>
      </c>
      <c r="E301" s="35" t="s">
        <v>1359</v>
      </c>
      <c r="F301" s="35" t="s">
        <v>1199</v>
      </c>
      <c r="G301" s="4" t="s">
        <v>1200</v>
      </c>
      <c r="H301" s="35" t="s">
        <v>838</v>
      </c>
      <c r="I301" s="35" t="s">
        <v>840</v>
      </c>
      <c r="J301"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2" spans="1:10" ht="14.5" customHeight="1" x14ac:dyDescent="0.2">
      <c r="C302" s="35" t="s">
        <v>1369</v>
      </c>
      <c r="D302" s="35" t="s">
        <v>846</v>
      </c>
      <c r="E302" s="35" t="s">
        <v>1147</v>
      </c>
      <c r="F302" s="35" t="s">
        <v>1190</v>
      </c>
      <c r="G302" s="4" t="s">
        <v>1370</v>
      </c>
      <c r="H302" s="35" t="s">
        <v>1025</v>
      </c>
      <c r="I302" s="35" t="s">
        <v>859</v>
      </c>
      <c r="J302"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3" spans="1:10" ht="16" x14ac:dyDescent="0.2">
      <c r="B303" s="616" t="s">
        <v>627</v>
      </c>
      <c r="C303" s="35" t="s">
        <v>1371</v>
      </c>
      <c r="D303" s="35" t="s">
        <v>834</v>
      </c>
      <c r="E303" s="35" t="s">
        <v>1361</v>
      </c>
      <c r="F303" s="35" t="s">
        <v>1193</v>
      </c>
      <c r="G303" s="4" t="s">
        <v>1372</v>
      </c>
      <c r="H303" s="35" t="s">
        <v>838</v>
      </c>
      <c r="I303" s="35" t="s">
        <v>840</v>
      </c>
      <c r="J303"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4" spans="1:10" ht="14.5" customHeight="1" x14ac:dyDescent="0.2">
      <c r="C304" s="35" t="s">
        <v>1373</v>
      </c>
      <c r="D304" s="35" t="s">
        <v>834</v>
      </c>
      <c r="E304" s="35" t="s">
        <v>1359</v>
      </c>
      <c r="F304" s="35" t="s">
        <v>1374</v>
      </c>
      <c r="G304" s="4" t="s">
        <v>1375</v>
      </c>
      <c r="H304" s="35" t="s">
        <v>838</v>
      </c>
      <c r="I304" s="35" t="s">
        <v>840</v>
      </c>
      <c r="J304"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5" spans="1:10" ht="14.5" customHeight="1" x14ac:dyDescent="0.2">
      <c r="C305" s="35" t="s">
        <v>1376</v>
      </c>
      <c r="D305" s="35" t="s">
        <v>846</v>
      </c>
      <c r="E305" s="35" t="s">
        <v>1147</v>
      </c>
      <c r="F305" s="35" t="s">
        <v>1190</v>
      </c>
      <c r="G305" s="4" t="s">
        <v>1377</v>
      </c>
      <c r="H305" s="35" t="s">
        <v>1025</v>
      </c>
      <c r="I305" s="35" t="s">
        <v>859</v>
      </c>
      <c r="J305"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6" spans="1:10" ht="16" x14ac:dyDescent="0.2">
      <c r="B306" s="616" t="s">
        <v>633</v>
      </c>
      <c r="C306" s="35" t="s">
        <v>1378</v>
      </c>
      <c r="D306" s="35" t="s">
        <v>834</v>
      </c>
      <c r="E306" s="35" t="s">
        <v>1152</v>
      </c>
      <c r="F306" s="35" t="s">
        <v>1374</v>
      </c>
      <c r="G306" s="4" t="s">
        <v>1379</v>
      </c>
      <c r="H306" s="35" t="s">
        <v>850</v>
      </c>
      <c r="I306" s="35" t="s">
        <v>840</v>
      </c>
      <c r="J306"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7" spans="1:10" ht="14.5" customHeight="1" x14ac:dyDescent="0.2">
      <c r="C307" s="35" t="s">
        <v>1380</v>
      </c>
      <c r="D307" s="35" t="s">
        <v>834</v>
      </c>
      <c r="E307" s="35" t="s">
        <v>1361</v>
      </c>
      <c r="F307" s="35" t="s">
        <v>1187</v>
      </c>
      <c r="G307" s="4" t="s">
        <v>1381</v>
      </c>
      <c r="H307" s="35" t="s">
        <v>1025</v>
      </c>
      <c r="I307" s="35" t="s">
        <v>840</v>
      </c>
      <c r="J307"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8" spans="1:10" ht="14.5" customHeight="1" x14ac:dyDescent="0.2">
      <c r="C308" s="35" t="s">
        <v>1382</v>
      </c>
      <c r="D308" s="35" t="s">
        <v>834</v>
      </c>
      <c r="E308" s="35" t="s">
        <v>1359</v>
      </c>
      <c r="F308" s="35" t="s">
        <v>1199</v>
      </c>
      <c r="G308" s="4" t="s">
        <v>1383</v>
      </c>
      <c r="H308" s="35" t="s">
        <v>838</v>
      </c>
      <c r="I308" s="35" t="s">
        <v>840</v>
      </c>
      <c r="J308"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9" spans="1:10" ht="16" x14ac:dyDescent="0.2">
      <c r="B309" s="616" t="s">
        <v>640</v>
      </c>
      <c r="C309" s="35" t="s">
        <v>1384</v>
      </c>
      <c r="D309" s="35" t="s">
        <v>834</v>
      </c>
      <c r="E309" s="35" t="s">
        <v>1361</v>
      </c>
      <c r="F309" s="35" t="s">
        <v>1193</v>
      </c>
      <c r="G309" s="4" t="s">
        <v>1372</v>
      </c>
      <c r="H309" s="35" t="s">
        <v>838</v>
      </c>
      <c r="I309" s="35" t="s">
        <v>840</v>
      </c>
      <c r="J309"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0" spans="1:10" ht="14.5" customHeight="1" x14ac:dyDescent="0.2">
      <c r="C310" s="35" t="s">
        <v>1385</v>
      </c>
      <c r="D310" s="35" t="s">
        <v>834</v>
      </c>
      <c r="E310" s="35" t="s">
        <v>1359</v>
      </c>
      <c r="F310" s="35" t="s">
        <v>1199</v>
      </c>
      <c r="G310" s="4" t="s">
        <v>1200</v>
      </c>
      <c r="H310" s="35" t="s">
        <v>1025</v>
      </c>
      <c r="I310" s="35" t="s">
        <v>840</v>
      </c>
      <c r="J310"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1" spans="1:10" ht="14.5" customHeight="1" x14ac:dyDescent="0.2">
      <c r="C311" s="35" t="s">
        <v>1386</v>
      </c>
      <c r="D311" s="35" t="s">
        <v>846</v>
      </c>
      <c r="E311" s="35" t="s">
        <v>1361</v>
      </c>
      <c r="F311" s="35" t="s">
        <v>1190</v>
      </c>
      <c r="G311" s="4" t="s">
        <v>1362</v>
      </c>
      <c r="H311" s="35" t="s">
        <v>1025</v>
      </c>
      <c r="I311" s="35" t="s">
        <v>859</v>
      </c>
      <c r="J311"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2" spans="1:10" ht="16" x14ac:dyDescent="0.2">
      <c r="B312" s="616" t="s">
        <v>648</v>
      </c>
      <c r="C312" s="35" t="s">
        <v>1387</v>
      </c>
      <c r="D312" s="35" t="s">
        <v>834</v>
      </c>
      <c r="E312" s="35" t="s">
        <v>1361</v>
      </c>
      <c r="F312" s="35" t="s">
        <v>1193</v>
      </c>
      <c r="G312" s="4" t="s">
        <v>1388</v>
      </c>
      <c r="H312" s="35" t="s">
        <v>838</v>
      </c>
      <c r="I312" s="35" t="s">
        <v>840</v>
      </c>
      <c r="J312"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3" spans="1:10" ht="14.5" customHeight="1" x14ac:dyDescent="0.2">
      <c r="C313" s="35" t="s">
        <v>1389</v>
      </c>
      <c r="D313" s="35" t="s">
        <v>834</v>
      </c>
      <c r="E313" s="35" t="s">
        <v>1359</v>
      </c>
      <c r="F313" s="35" t="s">
        <v>1374</v>
      </c>
      <c r="G313" s="4" t="s">
        <v>1390</v>
      </c>
      <c r="H313" s="35" t="s">
        <v>1025</v>
      </c>
      <c r="I313" s="35" t="s">
        <v>840</v>
      </c>
      <c r="J313"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4" spans="1:10" ht="14.5" customHeight="1" x14ac:dyDescent="0.2">
      <c r="C314" s="35" t="s">
        <v>1391</v>
      </c>
      <c r="D314" s="35" t="s">
        <v>846</v>
      </c>
      <c r="E314" s="35" t="s">
        <v>1361</v>
      </c>
      <c r="F314" s="35" t="s">
        <v>1190</v>
      </c>
      <c r="G314" s="4" t="s">
        <v>1191</v>
      </c>
      <c r="H314" s="35" t="s">
        <v>1025</v>
      </c>
      <c r="I314" s="35" t="s">
        <v>859</v>
      </c>
      <c r="J314"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5" spans="1:10" ht="16" x14ac:dyDescent="0.2">
      <c r="B315" s="616" t="s">
        <v>654</v>
      </c>
      <c r="C315" s="35" t="s">
        <v>1392</v>
      </c>
      <c r="D315" s="35" t="s">
        <v>834</v>
      </c>
      <c r="E315" s="35" t="s">
        <v>1361</v>
      </c>
      <c r="F315" s="35" t="s">
        <v>1193</v>
      </c>
      <c r="G315" s="4" t="s">
        <v>1393</v>
      </c>
      <c r="H315" s="35" t="s">
        <v>1025</v>
      </c>
      <c r="I315" s="35" t="s">
        <v>840</v>
      </c>
      <c r="J315"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6" spans="1:10" ht="14.5" customHeight="1" x14ac:dyDescent="0.2">
      <c r="C316" s="35" t="s">
        <v>1394</v>
      </c>
      <c r="D316" s="35" t="s">
        <v>834</v>
      </c>
      <c r="E316" s="35" t="s">
        <v>1361</v>
      </c>
      <c r="F316" s="35" t="s">
        <v>1193</v>
      </c>
      <c r="G316" s="4" t="s">
        <v>1395</v>
      </c>
      <c r="H316" s="35" t="s">
        <v>838</v>
      </c>
      <c r="I316" s="35" t="s">
        <v>840</v>
      </c>
      <c r="J316"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7" spans="1:10" ht="14.5" customHeight="1" x14ac:dyDescent="0.2">
      <c r="C317" s="35" t="s">
        <v>1396</v>
      </c>
      <c r="D317" s="35" t="s">
        <v>846</v>
      </c>
      <c r="E317" s="35" t="s">
        <v>1361</v>
      </c>
      <c r="F317" s="35" t="s">
        <v>1190</v>
      </c>
      <c r="G317" s="4" t="s">
        <v>1397</v>
      </c>
      <c r="H317" s="35" t="s">
        <v>1025</v>
      </c>
      <c r="I317" s="35" t="s">
        <v>859</v>
      </c>
      <c r="J317"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8" spans="1:10" ht="16" x14ac:dyDescent="0.2">
      <c r="B318" s="616" t="s">
        <v>660</v>
      </c>
      <c r="C318" s="35" t="s">
        <v>1398</v>
      </c>
      <c r="D318" s="35" t="s">
        <v>834</v>
      </c>
      <c r="E318" s="35" t="s">
        <v>1361</v>
      </c>
      <c r="F318" s="35" t="s">
        <v>1193</v>
      </c>
      <c r="G318" s="4" t="s">
        <v>1399</v>
      </c>
      <c r="H318" s="35" t="s">
        <v>1025</v>
      </c>
      <c r="I318" s="35" t="s">
        <v>840</v>
      </c>
      <c r="J318"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9" spans="1:10" ht="14.5" customHeight="1" x14ac:dyDescent="0.2">
      <c r="C319" s="35" t="s">
        <v>1373</v>
      </c>
      <c r="D319" s="35" t="s">
        <v>834</v>
      </c>
      <c r="E319" s="35" t="s">
        <v>1359</v>
      </c>
      <c r="F319" s="35" t="s">
        <v>1199</v>
      </c>
      <c r="G319" s="4" t="s">
        <v>1400</v>
      </c>
      <c r="H319" s="35" t="s">
        <v>1025</v>
      </c>
      <c r="I319" s="35" t="s">
        <v>840</v>
      </c>
      <c r="J319"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0" spans="1:10" ht="14.5" customHeight="1" x14ac:dyDescent="0.2">
      <c r="C320" s="35" t="s">
        <v>1401</v>
      </c>
      <c r="D320" s="35" t="s">
        <v>846</v>
      </c>
      <c r="E320" s="35" t="s">
        <v>1361</v>
      </c>
      <c r="F320" s="35" t="s">
        <v>1190</v>
      </c>
      <c r="G320" s="4" t="s">
        <v>1370</v>
      </c>
      <c r="H320" s="35" t="s">
        <v>1025</v>
      </c>
      <c r="I320" s="35" t="s">
        <v>859</v>
      </c>
      <c r="J320"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1" spans="1:10" ht="16" x14ac:dyDescent="0.2">
      <c r="B321" s="635" t="s">
        <v>673</v>
      </c>
      <c r="C321" s="35" t="s">
        <v>1402</v>
      </c>
      <c r="D321" s="35" t="s">
        <v>834</v>
      </c>
      <c r="E321" s="35" t="s">
        <v>1361</v>
      </c>
      <c r="F321" s="35" t="s">
        <v>1193</v>
      </c>
      <c r="G321" s="4" t="s">
        <v>1219</v>
      </c>
      <c r="H321" s="35" t="s">
        <v>838</v>
      </c>
      <c r="I321" s="35" t="s">
        <v>840</v>
      </c>
      <c r="J321"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2" spans="1:10" ht="14.5" customHeight="1" x14ac:dyDescent="0.2">
      <c r="C322" s="35" t="s">
        <v>1403</v>
      </c>
      <c r="D322" s="35" t="s">
        <v>834</v>
      </c>
      <c r="E322" s="35" t="s">
        <v>1359</v>
      </c>
      <c r="F322" s="35" t="s">
        <v>1374</v>
      </c>
      <c r="G322" s="4" t="s">
        <v>1200</v>
      </c>
      <c r="H322" s="35" t="s">
        <v>838</v>
      </c>
      <c r="I322" s="35" t="s">
        <v>840</v>
      </c>
      <c r="J322"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3" spans="1:10" ht="14.5" customHeight="1" x14ac:dyDescent="0.2">
      <c r="C323" s="35" t="s">
        <v>1404</v>
      </c>
      <c r="D323" s="35" t="s">
        <v>846</v>
      </c>
      <c r="E323" s="35" t="s">
        <v>1361</v>
      </c>
      <c r="F323" s="35" t="s">
        <v>1190</v>
      </c>
      <c r="G323" s="4" t="s">
        <v>1405</v>
      </c>
      <c r="H323" s="35" t="s">
        <v>1025</v>
      </c>
      <c r="I323" s="35" t="s">
        <v>859</v>
      </c>
      <c r="J323" s="35" t="s">
        <v>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4" spans="1:10" ht="16" x14ac:dyDescent="0.2">
      <c r="B324" s="635" t="s">
        <v>384</v>
      </c>
      <c r="C324" s="35" t="s">
        <v>1406</v>
      </c>
      <c r="D324" s="35" t="s">
        <v>834</v>
      </c>
      <c r="E324" s="35" t="s">
        <v>1361</v>
      </c>
      <c r="F324" s="35" t="s">
        <v>1193</v>
      </c>
      <c r="G324" s="4" t="s">
        <v>1407</v>
      </c>
      <c r="H324" s="35" t="s">
        <v>1025</v>
      </c>
      <c r="I324" s="35" t="s">
        <v>840</v>
      </c>
      <c r="J324"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5" spans="1:10" ht="14.5" customHeight="1" x14ac:dyDescent="0.2">
      <c r="C325" s="35" t="s">
        <v>1373</v>
      </c>
      <c r="D325" s="35" t="s">
        <v>834</v>
      </c>
      <c r="E325" s="35" t="s">
        <v>1359</v>
      </c>
      <c r="F325" s="35" t="s">
        <v>1199</v>
      </c>
      <c r="G325" s="4" t="s">
        <v>1408</v>
      </c>
      <c r="H325" s="35" t="s">
        <v>1025</v>
      </c>
      <c r="I325" s="35" t="s">
        <v>840</v>
      </c>
      <c r="J325"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6" spans="1:10" ht="14.5" customHeight="1" x14ac:dyDescent="0.2">
      <c r="C326" s="35" t="s">
        <v>1409</v>
      </c>
      <c r="D326" s="35" t="s">
        <v>846</v>
      </c>
      <c r="E326" s="35" t="s">
        <v>1361</v>
      </c>
      <c r="F326" s="35" t="s">
        <v>1190</v>
      </c>
      <c r="G326" s="4" t="s">
        <v>1410</v>
      </c>
      <c r="H326" s="35" t="s">
        <v>1025</v>
      </c>
      <c r="I326" s="35" t="s">
        <v>859</v>
      </c>
      <c r="J326"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7" spans="1:10" ht="16" x14ac:dyDescent="0.2">
      <c r="B327" s="635" t="s">
        <v>686</v>
      </c>
      <c r="C327" s="35" t="s">
        <v>1384</v>
      </c>
      <c r="D327" s="35" t="s">
        <v>834</v>
      </c>
      <c r="E327" s="35" t="s">
        <v>1361</v>
      </c>
      <c r="F327" s="35" t="s">
        <v>1193</v>
      </c>
      <c r="G327" s="4" t="s">
        <v>1411</v>
      </c>
      <c r="H327" s="35" t="s">
        <v>838</v>
      </c>
      <c r="I327" s="35" t="s">
        <v>840</v>
      </c>
      <c r="J327"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8" spans="1:10" ht="14.5" customHeight="1" x14ac:dyDescent="0.2">
      <c r="C328" s="35" t="s">
        <v>1412</v>
      </c>
      <c r="D328" s="35" t="s">
        <v>834</v>
      </c>
      <c r="E328" s="35" t="s">
        <v>1359</v>
      </c>
      <c r="F328" s="35" t="s">
        <v>1199</v>
      </c>
      <c r="G328" s="4" t="s">
        <v>1413</v>
      </c>
      <c r="H328" s="35" t="s">
        <v>838</v>
      </c>
      <c r="I328" s="35" t="s">
        <v>840</v>
      </c>
      <c r="J328"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9" spans="1:10" ht="14.5" customHeight="1" x14ac:dyDescent="0.2">
      <c r="C329" s="35" t="s">
        <v>1414</v>
      </c>
      <c r="D329" s="35" t="s">
        <v>846</v>
      </c>
      <c r="E329" s="35" t="s">
        <v>1361</v>
      </c>
      <c r="F329" s="35" t="s">
        <v>1190</v>
      </c>
      <c r="G329" s="4" t="s">
        <v>1415</v>
      </c>
      <c r="H329" s="35" t="s">
        <v>1025</v>
      </c>
      <c r="I329" s="35" t="s">
        <v>859</v>
      </c>
      <c r="J329"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0" spans="1:10" ht="16" x14ac:dyDescent="0.2">
      <c r="B330" s="635" t="s">
        <v>692</v>
      </c>
      <c r="C330" s="35" t="s">
        <v>1416</v>
      </c>
      <c r="D330" s="35" t="s">
        <v>834</v>
      </c>
      <c r="E330" s="35" t="s">
        <v>1361</v>
      </c>
      <c r="F330" s="35" t="s">
        <v>1193</v>
      </c>
      <c r="G330" s="4" t="s">
        <v>1372</v>
      </c>
      <c r="H330" s="35" t="s">
        <v>1025</v>
      </c>
      <c r="I330" s="35" t="s">
        <v>840</v>
      </c>
      <c r="J330"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1" spans="1:10" ht="14.5" customHeight="1" x14ac:dyDescent="0.2">
      <c r="C331" s="35" t="s">
        <v>1417</v>
      </c>
      <c r="D331" s="35" t="s">
        <v>834</v>
      </c>
      <c r="E331" s="35" t="s">
        <v>1359</v>
      </c>
      <c r="F331" s="35" t="s">
        <v>1199</v>
      </c>
      <c r="G331" s="4" t="s">
        <v>1200</v>
      </c>
      <c r="H331" s="35" t="s">
        <v>1025</v>
      </c>
      <c r="I331" s="35" t="s">
        <v>840</v>
      </c>
      <c r="J331"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2" spans="1:10" ht="14.5" customHeight="1" x14ac:dyDescent="0.2">
      <c r="C332" s="35" t="s">
        <v>1418</v>
      </c>
      <c r="D332" s="35" t="s">
        <v>846</v>
      </c>
      <c r="E332" s="35" t="s">
        <v>1361</v>
      </c>
      <c r="F332" s="35" t="s">
        <v>1190</v>
      </c>
      <c r="G332" s="4" t="s">
        <v>1419</v>
      </c>
      <c r="H332" s="35" t="s">
        <v>1025</v>
      </c>
      <c r="I332" s="35" t="s">
        <v>859</v>
      </c>
      <c r="J332"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3" spans="1:10" ht="16" x14ac:dyDescent="0.2">
      <c r="B333" s="635" t="s">
        <v>698</v>
      </c>
      <c r="C333" s="35" t="s">
        <v>1384</v>
      </c>
      <c r="D333" s="35" t="s">
        <v>834</v>
      </c>
      <c r="E333" s="35" t="s">
        <v>1361</v>
      </c>
      <c r="F333" s="35" t="s">
        <v>1193</v>
      </c>
      <c r="G333" s="4" t="s">
        <v>1367</v>
      </c>
      <c r="H333" s="35" t="s">
        <v>1025</v>
      </c>
      <c r="I333" s="35" t="s">
        <v>840</v>
      </c>
      <c r="J333"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4" spans="1:10" ht="14.5" customHeight="1" x14ac:dyDescent="0.2">
      <c r="C334" s="35" t="s">
        <v>1420</v>
      </c>
      <c r="D334" s="35" t="s">
        <v>834</v>
      </c>
      <c r="E334" s="35" t="s">
        <v>1359</v>
      </c>
      <c r="F334" s="35" t="s">
        <v>1199</v>
      </c>
      <c r="G334" s="4" t="s">
        <v>1413</v>
      </c>
      <c r="H334" s="35" t="s">
        <v>838</v>
      </c>
      <c r="I334" s="35" t="s">
        <v>840</v>
      </c>
      <c r="J334"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5" spans="1:10" ht="14.5" customHeight="1" x14ac:dyDescent="0.2">
      <c r="C335" s="35" t="s">
        <v>1421</v>
      </c>
      <c r="D335" s="35" t="s">
        <v>846</v>
      </c>
      <c r="E335" s="35" t="s">
        <v>1361</v>
      </c>
      <c r="F335" s="35" t="s">
        <v>1190</v>
      </c>
      <c r="G335" s="4" t="s">
        <v>1422</v>
      </c>
      <c r="H335" s="35" t="s">
        <v>1025</v>
      </c>
      <c r="I335" s="35" t="s">
        <v>859</v>
      </c>
      <c r="J335"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6" spans="1:10" ht="16" x14ac:dyDescent="0.2">
      <c r="B336" s="632" t="s">
        <v>1423</v>
      </c>
      <c r="C336" s="35" t="s">
        <v>1424</v>
      </c>
      <c r="D336" s="35" t="s">
        <v>834</v>
      </c>
      <c r="E336" s="35" t="s">
        <v>1361</v>
      </c>
      <c r="F336" s="35" t="s">
        <v>1193</v>
      </c>
      <c r="G336" s="4" t="s">
        <v>1219</v>
      </c>
      <c r="H336" s="35" t="s">
        <v>838</v>
      </c>
      <c r="I336" s="35" t="s">
        <v>840</v>
      </c>
      <c r="J336"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7" spans="1:10" ht="14.5" customHeight="1" x14ac:dyDescent="0.2">
      <c r="C337" s="35" t="s">
        <v>1425</v>
      </c>
      <c r="D337" s="35" t="s">
        <v>834</v>
      </c>
      <c r="E337" s="35" t="s">
        <v>1359</v>
      </c>
      <c r="F337" s="35" t="s">
        <v>1199</v>
      </c>
      <c r="G337" s="4" t="s">
        <v>1413</v>
      </c>
      <c r="H337" s="35" t="s">
        <v>838</v>
      </c>
      <c r="I337" s="35" t="s">
        <v>840</v>
      </c>
      <c r="J337" s="35"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8" spans="1:10" ht="14.5" customHeight="1" x14ac:dyDescent="0.2">
      <c r="C338" s="35" t="s">
        <v>1426</v>
      </c>
      <c r="D338" s="35" t="s">
        <v>846</v>
      </c>
      <c r="E338" s="35" t="s">
        <v>1361</v>
      </c>
      <c r="F338" s="35" t="s">
        <v>1190</v>
      </c>
      <c r="G338" s="4" t="s">
        <v>1427</v>
      </c>
      <c r="H338" s="35" t="s">
        <v>1025</v>
      </c>
      <c r="I338" s="35" t="s">
        <v>859</v>
      </c>
      <c r="J338" s="35" t="s">
        <v>868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0" spans="1:10" s="250" customFormat="1" ht="14.5" customHeight="1" x14ac:dyDescent="0.2">
      <c r="A340" s="625" t="s">
        <v>708</v>
      </c>
      <c r="B340" s="638" t="s">
        <v>712</v>
      </c>
      <c r="C340" s="244" t="s">
        <v>904</v>
      </c>
      <c r="D340" s="244" t="s">
        <v>834</v>
      </c>
      <c r="E340" s="244" t="s">
        <v>1428</v>
      </c>
      <c r="F340" s="244" t="s">
        <v>1429</v>
      </c>
      <c r="G340" s="244" t="s">
        <v>1430</v>
      </c>
      <c r="H340" s="244" t="s">
        <v>850</v>
      </c>
      <c r="I340" s="244" t="s">
        <v>840</v>
      </c>
      <c r="J340"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1" spans="1:10" ht="14.5" customHeight="1" x14ac:dyDescent="0.2">
      <c r="C341" s="244" t="s">
        <v>845</v>
      </c>
      <c r="D341" s="244" t="s">
        <v>846</v>
      </c>
      <c r="E341" s="244" t="s">
        <v>1431</v>
      </c>
      <c r="F341" s="244" t="s">
        <v>1432</v>
      </c>
      <c r="G341" s="244" t="s">
        <v>1433</v>
      </c>
      <c r="H341" s="244" t="s">
        <v>838</v>
      </c>
      <c r="I341" s="244" t="s">
        <v>840</v>
      </c>
      <c r="J341"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2" spans="1:10" ht="29" customHeight="1" x14ac:dyDescent="0.2">
      <c r="C342" s="244" t="s">
        <v>1434</v>
      </c>
      <c r="D342" s="244" t="s">
        <v>834</v>
      </c>
      <c r="E342" s="244" t="s">
        <v>1435</v>
      </c>
      <c r="F342" s="244" t="s">
        <v>1436</v>
      </c>
      <c r="G342" s="244" t="s">
        <v>1437</v>
      </c>
      <c r="H342" s="244" t="s">
        <v>838</v>
      </c>
      <c r="I342" s="244" t="s">
        <v>840</v>
      </c>
      <c r="J342"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3" spans="1:10" ht="15" customHeight="1" x14ac:dyDescent="0.2">
      <c r="B343" s="638" t="s">
        <v>1438</v>
      </c>
      <c r="C343" s="244" t="s">
        <v>1439</v>
      </c>
      <c r="D343" s="244" t="s">
        <v>846</v>
      </c>
      <c r="E343" s="244" t="s">
        <v>1440</v>
      </c>
      <c r="F343" s="244" t="s">
        <v>1441</v>
      </c>
      <c r="G343" s="244" t="s">
        <v>1442</v>
      </c>
      <c r="H343" s="244" t="s">
        <v>838</v>
      </c>
      <c r="I343" s="244" t="s">
        <v>840</v>
      </c>
      <c r="J343"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4" spans="1:10" ht="14.5" customHeight="1" x14ac:dyDescent="0.2">
      <c r="C344" s="244" t="s">
        <v>904</v>
      </c>
      <c r="D344" s="244" t="s">
        <v>834</v>
      </c>
      <c r="E344" s="244" t="s">
        <v>1443</v>
      </c>
      <c r="F344" s="244" t="s">
        <v>910</v>
      </c>
      <c r="G344" s="244" t="s">
        <v>1200</v>
      </c>
      <c r="H344" s="244" t="s">
        <v>850</v>
      </c>
      <c r="I344" s="244" t="s">
        <v>840</v>
      </c>
      <c r="J344"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5" spans="1:10" ht="14.5" customHeight="1" x14ac:dyDescent="0.2">
      <c r="C345" s="244" t="s">
        <v>912</v>
      </c>
      <c r="D345" s="244" t="s">
        <v>846</v>
      </c>
      <c r="E345" s="244" t="s">
        <v>1440</v>
      </c>
      <c r="F345" s="244" t="s">
        <v>1441</v>
      </c>
      <c r="G345" s="244" t="s">
        <v>1444</v>
      </c>
      <c r="H345" s="244" t="s">
        <v>838</v>
      </c>
      <c r="I345" s="244" t="s">
        <v>840</v>
      </c>
      <c r="J345"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6" spans="1:10" ht="15" customHeight="1" x14ac:dyDescent="0.2">
      <c r="B346" s="638" t="s">
        <v>726</v>
      </c>
      <c r="C346" s="244" t="s">
        <v>904</v>
      </c>
      <c r="D346" s="244" t="s">
        <v>834</v>
      </c>
      <c r="E346" s="244" t="s">
        <v>1445</v>
      </c>
      <c r="F346" s="244" t="s">
        <v>878</v>
      </c>
      <c r="G346" s="244" t="s">
        <v>1393</v>
      </c>
      <c r="H346" s="244" t="s">
        <v>838</v>
      </c>
      <c r="I346" s="244" t="s">
        <v>840</v>
      </c>
      <c r="J346"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7" spans="1:10" ht="14.5" customHeight="1" x14ac:dyDescent="0.2">
      <c r="C347" s="244" t="s">
        <v>1122</v>
      </c>
      <c r="D347" s="244" t="s">
        <v>846</v>
      </c>
      <c r="E347" s="244" t="s">
        <v>1446</v>
      </c>
      <c r="F347" s="244" t="s">
        <v>1441</v>
      </c>
      <c r="G347" s="244" t="s">
        <v>1447</v>
      </c>
      <c r="H347" s="244" t="s">
        <v>838</v>
      </c>
      <c r="I347" s="244" t="s">
        <v>840</v>
      </c>
      <c r="J347"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8" spans="1:10" ht="29" customHeight="1" x14ac:dyDescent="0.2">
      <c r="C348" s="244" t="s">
        <v>1434</v>
      </c>
      <c r="D348" s="244" t="s">
        <v>834</v>
      </c>
      <c r="E348" s="244" t="s">
        <v>1446</v>
      </c>
      <c r="F348" s="244" t="s">
        <v>1448</v>
      </c>
      <c r="G348" s="244" t="s">
        <v>1449</v>
      </c>
      <c r="H348" s="244" t="s">
        <v>838</v>
      </c>
      <c r="I348" s="244" t="s">
        <v>840</v>
      </c>
      <c r="J348"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9" spans="1:10" ht="32" x14ac:dyDescent="0.2">
      <c r="B349" s="638" t="s">
        <v>1450</v>
      </c>
      <c r="C349" s="244" t="s">
        <v>904</v>
      </c>
      <c r="D349" s="244" t="s">
        <v>834</v>
      </c>
      <c r="E349" s="244" t="s">
        <v>909</v>
      </c>
      <c r="F349" s="244" t="s">
        <v>1429</v>
      </c>
      <c r="G349" s="244" t="s">
        <v>1451</v>
      </c>
      <c r="H349" s="244" t="s">
        <v>838</v>
      </c>
      <c r="I349" s="244" t="s">
        <v>840</v>
      </c>
      <c r="J349"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0" spans="1:10" ht="14.5" customHeight="1" x14ac:dyDescent="0.2">
      <c r="C350" s="244" t="s">
        <v>1122</v>
      </c>
      <c r="D350" s="244" t="s">
        <v>846</v>
      </c>
      <c r="E350" s="244" t="s">
        <v>909</v>
      </c>
      <c r="F350" s="244" t="s">
        <v>1225</v>
      </c>
      <c r="G350" s="244" t="s">
        <v>1452</v>
      </c>
      <c r="H350" s="244" t="s">
        <v>838</v>
      </c>
      <c r="I350" s="244" t="s">
        <v>840</v>
      </c>
      <c r="J350"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1" spans="1:10" ht="29" customHeight="1" x14ac:dyDescent="0.2">
      <c r="C351" s="244" t="s">
        <v>1434</v>
      </c>
      <c r="D351" s="244" t="s">
        <v>834</v>
      </c>
      <c r="E351" s="244" t="s">
        <v>909</v>
      </c>
      <c r="F351" s="244" t="s">
        <v>1436</v>
      </c>
      <c r="G351" s="244" t="s">
        <v>1453</v>
      </c>
      <c r="H351" s="244" t="s">
        <v>838</v>
      </c>
      <c r="I351" s="244" t="s">
        <v>840</v>
      </c>
      <c r="J351"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2" spans="1:10" ht="16" x14ac:dyDescent="0.2">
      <c r="B352" s="638" t="s">
        <v>742</v>
      </c>
      <c r="C352" s="244" t="s">
        <v>904</v>
      </c>
      <c r="D352" s="244" t="s">
        <v>834</v>
      </c>
      <c r="E352" s="244" t="s">
        <v>1454</v>
      </c>
      <c r="F352" s="244" t="s">
        <v>910</v>
      </c>
      <c r="G352" s="244" t="s">
        <v>1455</v>
      </c>
      <c r="H352" s="244" t="s">
        <v>850</v>
      </c>
      <c r="I352" s="244" t="s">
        <v>840</v>
      </c>
      <c r="J352"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3" spans="1:10" ht="14.5" customHeight="1" x14ac:dyDescent="0.2">
      <c r="C353" s="244" t="s">
        <v>912</v>
      </c>
      <c r="D353" s="244" t="s">
        <v>846</v>
      </c>
      <c r="E353" s="244" t="s">
        <v>1454</v>
      </c>
      <c r="F353" s="244" t="s">
        <v>1456</v>
      </c>
      <c r="G353" s="244" t="s">
        <v>1457</v>
      </c>
      <c r="H353" s="244" t="s">
        <v>838</v>
      </c>
      <c r="I353" s="244" t="s">
        <v>840</v>
      </c>
      <c r="J353"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4" spans="1:10" ht="29" customHeight="1" x14ac:dyDescent="0.2">
      <c r="C354" s="244" t="s">
        <v>1434</v>
      </c>
      <c r="D354" s="244" t="s">
        <v>834</v>
      </c>
      <c r="E354" s="244" t="s">
        <v>1454</v>
      </c>
      <c r="F354" s="244" t="s">
        <v>878</v>
      </c>
      <c r="G354" s="244" t="s">
        <v>1458</v>
      </c>
      <c r="H354" s="244" t="s">
        <v>838</v>
      </c>
      <c r="I354" s="244" t="s">
        <v>840</v>
      </c>
      <c r="J354"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5" spans="1:10" ht="15" customHeight="1" x14ac:dyDescent="0.2">
      <c r="B355" s="638" t="s">
        <v>749</v>
      </c>
      <c r="C355" s="244" t="s">
        <v>904</v>
      </c>
      <c r="D355" s="244" t="s">
        <v>834</v>
      </c>
      <c r="E355" s="244" t="s">
        <v>1459</v>
      </c>
      <c r="F355" s="244" t="s">
        <v>1448</v>
      </c>
      <c r="G355" s="244" t="s">
        <v>1460</v>
      </c>
      <c r="H355" s="244" t="s">
        <v>838</v>
      </c>
      <c r="I355" s="244" t="s">
        <v>840</v>
      </c>
      <c r="J355"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6" spans="1:10" ht="29" customHeight="1" x14ac:dyDescent="0.2">
      <c r="C356" s="244" t="s">
        <v>1122</v>
      </c>
      <c r="D356" s="244" t="s">
        <v>846</v>
      </c>
      <c r="E356" s="244" t="s">
        <v>1459</v>
      </c>
      <c r="F356" s="244" t="s">
        <v>1225</v>
      </c>
      <c r="G356" s="244" t="s">
        <v>1461</v>
      </c>
      <c r="H356" s="244" t="s">
        <v>838</v>
      </c>
      <c r="I356" s="244" t="s">
        <v>859</v>
      </c>
      <c r="J356"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7" spans="1:10" ht="14.5" customHeight="1" x14ac:dyDescent="0.2">
      <c r="C357" s="244" t="s">
        <v>1434</v>
      </c>
      <c r="D357" s="244" t="s">
        <v>834</v>
      </c>
      <c r="E357" s="244" t="s">
        <v>1459</v>
      </c>
      <c r="F357" s="244" t="s">
        <v>878</v>
      </c>
      <c r="G357" s="244" t="s">
        <v>1462</v>
      </c>
      <c r="H357" s="244" t="s">
        <v>838</v>
      </c>
      <c r="I357" s="244" t="s">
        <v>840</v>
      </c>
      <c r="J357"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8" spans="1:10" ht="15" customHeight="1" x14ac:dyDescent="0.2">
      <c r="B358" s="638" t="s">
        <v>1463</v>
      </c>
      <c r="C358" s="244" t="s">
        <v>904</v>
      </c>
      <c r="D358" s="244" t="s">
        <v>834</v>
      </c>
      <c r="E358" s="244" t="s">
        <v>909</v>
      </c>
      <c r="F358" s="244" t="s">
        <v>910</v>
      </c>
      <c r="G358" s="244" t="s">
        <v>1464</v>
      </c>
      <c r="H358" s="244" t="s">
        <v>850</v>
      </c>
      <c r="I358" s="244" t="s">
        <v>840</v>
      </c>
      <c r="J358"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9" spans="1:10" ht="29" customHeight="1" x14ac:dyDescent="0.2">
      <c r="C359" s="244" t="s">
        <v>1122</v>
      </c>
      <c r="D359" s="244" t="s">
        <v>846</v>
      </c>
      <c r="E359" s="244" t="s">
        <v>909</v>
      </c>
      <c r="F359" s="244" t="s">
        <v>1456</v>
      </c>
      <c r="G359" s="244" t="s">
        <v>1465</v>
      </c>
      <c r="H359" s="244" t="s">
        <v>838</v>
      </c>
      <c r="I359" s="244" t="s">
        <v>840</v>
      </c>
      <c r="J359"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0" spans="1:10" ht="14.5" customHeight="1" x14ac:dyDescent="0.2">
      <c r="C360" s="244" t="s">
        <v>908</v>
      </c>
      <c r="D360" s="244" t="s">
        <v>834</v>
      </c>
      <c r="E360" s="244" t="s">
        <v>909</v>
      </c>
      <c r="F360" s="244" t="s">
        <v>892</v>
      </c>
      <c r="G360" s="244" t="s">
        <v>1466</v>
      </c>
      <c r="H360" s="244" t="s">
        <v>858</v>
      </c>
      <c r="I360" s="244" t="s">
        <v>839</v>
      </c>
      <c r="J360" s="24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1" spans="1:10" ht="15" customHeight="1" x14ac:dyDescent="0.2">
      <c r="B361" s="638" t="s">
        <v>765</v>
      </c>
      <c r="C361" s="244" t="s">
        <v>904</v>
      </c>
      <c r="D361" s="244" t="s">
        <v>834</v>
      </c>
      <c r="E361" s="244" t="s">
        <v>909</v>
      </c>
      <c r="F361" s="244" t="s">
        <v>892</v>
      </c>
      <c r="G361" s="244" t="s">
        <v>1467</v>
      </c>
      <c r="H361" s="244" t="s">
        <v>850</v>
      </c>
      <c r="I361" s="244" t="s">
        <v>840</v>
      </c>
      <c r="J361"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2" spans="1:10" ht="14.5" customHeight="1" x14ac:dyDescent="0.2">
      <c r="C362" s="244" t="s">
        <v>912</v>
      </c>
      <c r="D362" s="244" t="s">
        <v>846</v>
      </c>
      <c r="E362" s="244" t="s">
        <v>909</v>
      </c>
      <c r="F362" s="244" t="s">
        <v>1441</v>
      </c>
      <c r="G362" s="244" t="s">
        <v>1468</v>
      </c>
      <c r="H362" s="244" t="s">
        <v>838</v>
      </c>
      <c r="I362" s="244" t="s">
        <v>840</v>
      </c>
      <c r="J362"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3" spans="1:10" ht="14.5" customHeight="1" x14ac:dyDescent="0.2">
      <c r="C363" s="244" t="s">
        <v>1122</v>
      </c>
      <c r="D363" s="244" t="s">
        <v>846</v>
      </c>
      <c r="E363" s="244" t="s">
        <v>909</v>
      </c>
      <c r="F363" s="244" t="s">
        <v>1441</v>
      </c>
      <c r="G363" s="244" t="s">
        <v>1469</v>
      </c>
      <c r="H363" s="244" t="s">
        <v>838</v>
      </c>
      <c r="I363" s="244" t="s">
        <v>840</v>
      </c>
      <c r="J363"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4" spans="1:10" ht="32" x14ac:dyDescent="0.2">
      <c r="B364" s="638" t="s">
        <v>772</v>
      </c>
      <c r="C364" s="244" t="s">
        <v>904</v>
      </c>
      <c r="D364" s="244" t="s">
        <v>834</v>
      </c>
      <c r="E364" s="244" t="s">
        <v>909</v>
      </c>
      <c r="F364" s="244" t="s">
        <v>910</v>
      </c>
      <c r="G364" s="244" t="s">
        <v>1470</v>
      </c>
      <c r="H364" s="244" t="s">
        <v>850</v>
      </c>
      <c r="I364" s="244" t="s">
        <v>840</v>
      </c>
      <c r="J364"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5" spans="1:10" ht="14.5" customHeight="1" x14ac:dyDescent="0.2">
      <c r="C365" s="244" t="s">
        <v>912</v>
      </c>
      <c r="D365" s="244" t="s">
        <v>846</v>
      </c>
      <c r="E365" s="244" t="s">
        <v>909</v>
      </c>
      <c r="F365" s="244" t="s">
        <v>1456</v>
      </c>
      <c r="G365" s="244" t="s">
        <v>1471</v>
      </c>
      <c r="H365" s="244" t="s">
        <v>838</v>
      </c>
      <c r="I365" s="244" t="s">
        <v>840</v>
      </c>
      <c r="J365"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6" spans="1:10" ht="29" customHeight="1" x14ac:dyDescent="0.2">
      <c r="C366" s="244" t="s">
        <v>1122</v>
      </c>
      <c r="D366" s="244" t="s">
        <v>846</v>
      </c>
      <c r="E366" s="244" t="s">
        <v>909</v>
      </c>
      <c r="F366" s="244" t="s">
        <v>1456</v>
      </c>
      <c r="G366" s="244" t="s">
        <v>1472</v>
      </c>
      <c r="H366" s="244" t="s">
        <v>838</v>
      </c>
      <c r="I366" s="244" t="s">
        <v>840</v>
      </c>
      <c r="J366"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7" spans="1:10" ht="16" x14ac:dyDescent="0.2">
      <c r="B367" s="638" t="s">
        <v>787</v>
      </c>
      <c r="C367" s="244" t="s">
        <v>1434</v>
      </c>
      <c r="D367" s="244" t="s">
        <v>834</v>
      </c>
      <c r="E367" s="244" t="s">
        <v>1446</v>
      </c>
      <c r="F367" s="244" t="s">
        <v>878</v>
      </c>
      <c r="G367" s="244" t="s">
        <v>1473</v>
      </c>
      <c r="H367" s="244" t="s">
        <v>838</v>
      </c>
      <c r="I367" s="244" t="s">
        <v>840</v>
      </c>
      <c r="J367"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8" spans="1:10" ht="14.5" customHeight="1" x14ac:dyDescent="0.2">
      <c r="C368" s="244" t="s">
        <v>1122</v>
      </c>
      <c r="D368" s="244" t="s">
        <v>846</v>
      </c>
      <c r="E368" s="244" t="s">
        <v>1446</v>
      </c>
      <c r="F368" s="244" t="s">
        <v>1225</v>
      </c>
      <c r="G368" s="244" t="s">
        <v>1474</v>
      </c>
      <c r="H368" s="244" t="s">
        <v>838</v>
      </c>
      <c r="I368" s="244" t="s">
        <v>840</v>
      </c>
      <c r="J368"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9" spans="1:10" ht="14.5" customHeight="1" x14ac:dyDescent="0.2">
      <c r="C369" s="244" t="s">
        <v>904</v>
      </c>
      <c r="D369" s="244" t="s">
        <v>834</v>
      </c>
      <c r="E369" s="244" t="s">
        <v>1446</v>
      </c>
      <c r="F369" s="244" t="s">
        <v>910</v>
      </c>
      <c r="G369" s="244" t="s">
        <v>1475</v>
      </c>
      <c r="H369" s="244" t="s">
        <v>850</v>
      </c>
      <c r="I369" s="244" t="s">
        <v>840</v>
      </c>
      <c r="J369"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0" spans="1:10" ht="15" customHeight="1" x14ac:dyDescent="0.2">
      <c r="B370" s="638" t="s">
        <v>794</v>
      </c>
      <c r="C370" s="244" t="s">
        <v>904</v>
      </c>
      <c r="D370" s="244" t="s">
        <v>834</v>
      </c>
      <c r="E370" s="244" t="s">
        <v>1459</v>
      </c>
      <c r="F370" s="244" t="s">
        <v>910</v>
      </c>
      <c r="G370" s="244" t="s">
        <v>1476</v>
      </c>
      <c r="H370" s="244" t="s">
        <v>838</v>
      </c>
      <c r="I370" s="244" t="s">
        <v>840</v>
      </c>
      <c r="J370"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1" spans="1:10" ht="14.5" customHeight="1" x14ac:dyDescent="0.2">
      <c r="C371" s="244" t="s">
        <v>1434</v>
      </c>
      <c r="D371" s="244" t="s">
        <v>834</v>
      </c>
      <c r="E371" s="244" t="s">
        <v>1459</v>
      </c>
      <c r="F371" s="244" t="s">
        <v>1436</v>
      </c>
      <c r="G371" s="244" t="s">
        <v>1477</v>
      </c>
      <c r="H371" s="244" t="s">
        <v>838</v>
      </c>
      <c r="I371" s="244" t="s">
        <v>840</v>
      </c>
      <c r="J371"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2" spans="1:10" ht="14.5" customHeight="1" x14ac:dyDescent="0.2">
      <c r="C372" s="244" t="s">
        <v>1122</v>
      </c>
      <c r="D372" s="244" t="s">
        <v>846</v>
      </c>
      <c r="E372" s="244" t="s">
        <v>1459</v>
      </c>
      <c r="F372" s="244" t="s">
        <v>1456</v>
      </c>
      <c r="G372" s="244" t="s">
        <v>1478</v>
      </c>
      <c r="H372" s="244" t="s">
        <v>838</v>
      </c>
      <c r="I372" s="244" t="s">
        <v>840</v>
      </c>
      <c r="J372"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3" spans="1:10" ht="16" x14ac:dyDescent="0.2">
      <c r="B373" s="638" t="s">
        <v>1479</v>
      </c>
      <c r="C373" s="244" t="s">
        <v>904</v>
      </c>
      <c r="D373" s="244" t="s">
        <v>834</v>
      </c>
      <c r="E373" s="244" t="s">
        <v>909</v>
      </c>
      <c r="F373" s="244" t="s">
        <v>892</v>
      </c>
      <c r="G373" s="244" t="s">
        <v>1480</v>
      </c>
      <c r="H373" s="244" t="s">
        <v>850</v>
      </c>
      <c r="I373" s="244" t="s">
        <v>840</v>
      </c>
      <c r="J373"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4" spans="1:10" ht="14.5" customHeight="1" x14ac:dyDescent="0.2">
      <c r="C374" s="244" t="s">
        <v>1434</v>
      </c>
      <c r="D374" s="244" t="s">
        <v>834</v>
      </c>
      <c r="E374" s="244" t="s">
        <v>909</v>
      </c>
      <c r="F374" s="244" t="s">
        <v>878</v>
      </c>
      <c r="G374" s="244" t="s">
        <v>1481</v>
      </c>
      <c r="H374" s="244" t="s">
        <v>838</v>
      </c>
      <c r="I374" s="244" t="s">
        <v>840</v>
      </c>
      <c r="J374"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5" spans="1:10" ht="14.5" customHeight="1" x14ac:dyDescent="0.2">
      <c r="C375" s="244" t="s">
        <v>912</v>
      </c>
      <c r="D375" s="244" t="s">
        <v>846</v>
      </c>
      <c r="E375" s="244" t="s">
        <v>909</v>
      </c>
      <c r="F375" s="244" t="s">
        <v>1225</v>
      </c>
      <c r="G375" s="244" t="s">
        <v>1482</v>
      </c>
      <c r="H375" s="244" t="s">
        <v>838</v>
      </c>
      <c r="I375" s="244" t="s">
        <v>840</v>
      </c>
      <c r="J375"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6" spans="1:10" ht="15" customHeight="1" x14ac:dyDescent="0.2">
      <c r="B376" s="638" t="s">
        <v>810</v>
      </c>
      <c r="C376" s="244" t="s">
        <v>904</v>
      </c>
      <c r="D376" s="244" t="s">
        <v>834</v>
      </c>
      <c r="E376" s="244" t="s">
        <v>1459</v>
      </c>
      <c r="F376" s="244" t="s">
        <v>892</v>
      </c>
      <c r="G376" s="244" t="s">
        <v>1483</v>
      </c>
      <c r="H376" s="244" t="s">
        <v>850</v>
      </c>
      <c r="I376" s="244" t="s">
        <v>840</v>
      </c>
      <c r="J376"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7" spans="1:10" ht="29" customHeight="1" x14ac:dyDescent="0.2">
      <c r="C377" s="244" t="s">
        <v>1122</v>
      </c>
      <c r="D377" s="244" t="s">
        <v>846</v>
      </c>
      <c r="E377" s="244" t="s">
        <v>1459</v>
      </c>
      <c r="F377" s="244" t="s">
        <v>1225</v>
      </c>
      <c r="G377" s="244" t="s">
        <v>1484</v>
      </c>
      <c r="H377" s="244" t="s">
        <v>838</v>
      </c>
      <c r="I377" s="244" t="s">
        <v>840</v>
      </c>
      <c r="J377"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8" spans="1:10" ht="14.5" customHeight="1" x14ac:dyDescent="0.2">
      <c r="C378" s="244" t="s">
        <v>1434</v>
      </c>
      <c r="D378" s="244" t="s">
        <v>834</v>
      </c>
      <c r="E378" s="244" t="s">
        <v>1459</v>
      </c>
      <c r="F378" s="244" t="s">
        <v>1436</v>
      </c>
      <c r="G378" s="244" t="s">
        <v>1485</v>
      </c>
      <c r="H378" s="244" t="s">
        <v>838</v>
      </c>
      <c r="I378" s="244" t="s">
        <v>840</v>
      </c>
      <c r="J378"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9" spans="1:10" ht="32" x14ac:dyDescent="0.2">
      <c r="B379" s="638" t="s">
        <v>1486</v>
      </c>
      <c r="C379" s="244" t="s">
        <v>904</v>
      </c>
      <c r="D379" s="244" t="s">
        <v>834</v>
      </c>
      <c r="E379" s="244" t="s">
        <v>909</v>
      </c>
      <c r="F379" s="244" t="s">
        <v>910</v>
      </c>
      <c r="G379" s="244" t="s">
        <v>1487</v>
      </c>
      <c r="H379" s="244" t="s">
        <v>850</v>
      </c>
      <c r="I379" s="244" t="s">
        <v>840</v>
      </c>
      <c r="J379"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0" spans="1:10" ht="29" customHeight="1" x14ac:dyDescent="0.2">
      <c r="C380" s="244" t="s">
        <v>1122</v>
      </c>
      <c r="D380" s="244" t="s">
        <v>846</v>
      </c>
      <c r="E380" s="244" t="s">
        <v>909</v>
      </c>
      <c r="F380" s="244" t="s">
        <v>1456</v>
      </c>
      <c r="G380" s="244" t="s">
        <v>1488</v>
      </c>
      <c r="H380" s="244" t="s">
        <v>838</v>
      </c>
      <c r="I380" s="244" t="s">
        <v>840</v>
      </c>
      <c r="J380"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1" spans="1:10" ht="29" customHeight="1" x14ac:dyDescent="0.2">
      <c r="C381" s="244" t="s">
        <v>1434</v>
      </c>
      <c r="D381" s="244" t="s">
        <v>834</v>
      </c>
      <c r="E381" s="244" t="s">
        <v>1489</v>
      </c>
      <c r="F381" s="244" t="s">
        <v>1436</v>
      </c>
      <c r="G381" s="244" t="s">
        <v>1490</v>
      </c>
      <c r="H381" s="244" t="s">
        <v>838</v>
      </c>
      <c r="I381" s="244" t="s">
        <v>840</v>
      </c>
      <c r="J381"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2" spans="1:10" ht="15" customHeight="1" x14ac:dyDescent="0.2">
      <c r="B382" s="638" t="s">
        <v>354</v>
      </c>
      <c r="C382" s="244" t="s">
        <v>904</v>
      </c>
      <c r="D382" s="244" t="s">
        <v>834</v>
      </c>
      <c r="E382" s="244" t="s">
        <v>909</v>
      </c>
      <c r="F382" s="244" t="s">
        <v>910</v>
      </c>
      <c r="G382" s="244" t="s">
        <v>1491</v>
      </c>
      <c r="H382" s="244" t="s">
        <v>850</v>
      </c>
      <c r="I382" s="244" t="s">
        <v>840</v>
      </c>
      <c r="J382" s="244" t="s">
        <v>840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3" spans="1:10" ht="29" customHeight="1" x14ac:dyDescent="0.2">
      <c r="C383" s="244" t="s">
        <v>908</v>
      </c>
      <c r="D383" s="244" t="s">
        <v>834</v>
      </c>
      <c r="E383" s="244" t="s">
        <v>909</v>
      </c>
      <c r="F383" s="244" t="s">
        <v>892</v>
      </c>
      <c r="G383" s="244" t="s">
        <v>1492</v>
      </c>
      <c r="H383" s="244" t="s">
        <v>858</v>
      </c>
      <c r="I383" s="244" t="s">
        <v>839</v>
      </c>
      <c r="J383" s="244" t="s">
        <v>880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4" spans="1:10" ht="14.5" customHeight="1" x14ac:dyDescent="0.2">
      <c r="C384" s="244" t="s">
        <v>912</v>
      </c>
      <c r="D384" s="244" t="s">
        <v>846</v>
      </c>
      <c r="E384" s="244" t="s">
        <v>909</v>
      </c>
      <c r="F384" s="244" t="s">
        <v>1456</v>
      </c>
      <c r="G384" s="244" t="s">
        <v>1493</v>
      </c>
      <c r="H384" s="244" t="s">
        <v>838</v>
      </c>
      <c r="I384" s="244" t="s">
        <v>859</v>
      </c>
      <c r="J384" s="244" t="s">
        <v>868</v>
      </c>
    </row>
  </sheetData>
  <mergeCells count="154">
    <mergeCell ref="B376:B378"/>
    <mergeCell ref="B379:B381"/>
    <mergeCell ref="B382:B384"/>
    <mergeCell ref="B343:B345"/>
    <mergeCell ref="B346:B348"/>
    <mergeCell ref="A340:A384"/>
    <mergeCell ref="B340:B342"/>
    <mergeCell ref="B349:B351"/>
    <mergeCell ref="B352:B354"/>
    <mergeCell ref="B355:B357"/>
    <mergeCell ref="B358:B360"/>
    <mergeCell ref="B361:B363"/>
    <mergeCell ref="B364:B366"/>
    <mergeCell ref="B373:B375"/>
    <mergeCell ref="B367:B369"/>
    <mergeCell ref="B370:B372"/>
    <mergeCell ref="B315:B317"/>
    <mergeCell ref="B318:B320"/>
    <mergeCell ref="B336:B338"/>
    <mergeCell ref="B333:B335"/>
    <mergeCell ref="B330:B332"/>
    <mergeCell ref="B324:B326"/>
    <mergeCell ref="B327:B329"/>
    <mergeCell ref="B321:B323"/>
    <mergeCell ref="B294:B296"/>
    <mergeCell ref="B303:B305"/>
    <mergeCell ref="B306:B308"/>
    <mergeCell ref="B309:B311"/>
    <mergeCell ref="B312:B314"/>
    <mergeCell ref="B301:B302"/>
    <mergeCell ref="B298:B299"/>
    <mergeCell ref="D280:D281"/>
    <mergeCell ref="D282:D283"/>
    <mergeCell ref="D287:D288"/>
    <mergeCell ref="D289:D290"/>
    <mergeCell ref="D291:D292"/>
    <mergeCell ref="D265:D266"/>
    <mergeCell ref="D269:D270"/>
    <mergeCell ref="D271:D272"/>
    <mergeCell ref="D273:D274"/>
    <mergeCell ref="D278:D279"/>
    <mergeCell ref="D253:D254"/>
    <mergeCell ref="D255:D256"/>
    <mergeCell ref="D259:D260"/>
    <mergeCell ref="D261:D262"/>
    <mergeCell ref="D263:D264"/>
    <mergeCell ref="D241:D242"/>
    <mergeCell ref="D243:D244"/>
    <mergeCell ref="D245:D246"/>
    <mergeCell ref="D249:D250"/>
    <mergeCell ref="D251:D252"/>
    <mergeCell ref="D218:D219"/>
    <mergeCell ref="D190:D191"/>
    <mergeCell ref="B229:B235"/>
    <mergeCell ref="D230:D231"/>
    <mergeCell ref="D232:D233"/>
    <mergeCell ref="D234:D235"/>
    <mergeCell ref="D239:D240"/>
    <mergeCell ref="D223:D224"/>
    <mergeCell ref="D225:D226"/>
    <mergeCell ref="D227:D228"/>
    <mergeCell ref="D194:D195"/>
    <mergeCell ref="D196:D197"/>
    <mergeCell ref="D198:D199"/>
    <mergeCell ref="D200:D201"/>
    <mergeCell ref="D205:D206"/>
    <mergeCell ref="D207:D208"/>
    <mergeCell ref="D209:D210"/>
    <mergeCell ref="D214:D215"/>
    <mergeCell ref="D216:D217"/>
    <mergeCell ref="B236:B244"/>
    <mergeCell ref="B220:B228"/>
    <mergeCell ref="B211:B219"/>
    <mergeCell ref="B202:B210"/>
    <mergeCell ref="B192:B201"/>
    <mergeCell ref="A2:A46"/>
    <mergeCell ref="A151:A180"/>
    <mergeCell ref="B85:B87"/>
    <mergeCell ref="B88:B90"/>
    <mergeCell ref="B91:B93"/>
    <mergeCell ref="B94:B96"/>
    <mergeCell ref="B97:B99"/>
    <mergeCell ref="B100:B102"/>
    <mergeCell ref="B103:B105"/>
    <mergeCell ref="A85:A114"/>
    <mergeCell ref="B142:B143"/>
    <mergeCell ref="B144:B145"/>
    <mergeCell ref="B146:B147"/>
    <mergeCell ref="B148:B149"/>
    <mergeCell ref="A116:A149"/>
    <mergeCell ref="B132:B133"/>
    <mergeCell ref="B166:B168"/>
    <mergeCell ref="B112:B114"/>
    <mergeCell ref="B32:B34"/>
    <mergeCell ref="B35:B37"/>
    <mergeCell ref="B38:B40"/>
    <mergeCell ref="B41:B43"/>
    <mergeCell ref="B44:B46"/>
    <mergeCell ref="B106:B108"/>
    <mergeCell ref="D185:D186"/>
    <mergeCell ref="D187:D189"/>
    <mergeCell ref="B169:B171"/>
    <mergeCell ref="B172:B174"/>
    <mergeCell ref="B175:B177"/>
    <mergeCell ref="B160:B162"/>
    <mergeCell ref="B163:B165"/>
    <mergeCell ref="B122:B123"/>
    <mergeCell ref="B124:B125"/>
    <mergeCell ref="B126:B127"/>
    <mergeCell ref="B128:B129"/>
    <mergeCell ref="B130:B131"/>
    <mergeCell ref="B134:B135"/>
    <mergeCell ref="B151:B153"/>
    <mergeCell ref="B154:B156"/>
    <mergeCell ref="B157:B159"/>
    <mergeCell ref="B178:B180"/>
    <mergeCell ref="B136:B137"/>
    <mergeCell ref="B138:B139"/>
    <mergeCell ref="B140:B141"/>
    <mergeCell ref="B182:B191"/>
    <mergeCell ref="A294:A338"/>
    <mergeCell ref="A48:A83"/>
    <mergeCell ref="B48:B50"/>
    <mergeCell ref="B51:B53"/>
    <mergeCell ref="B54:B56"/>
    <mergeCell ref="B57:B59"/>
    <mergeCell ref="B60:B62"/>
    <mergeCell ref="B63:B65"/>
    <mergeCell ref="B66:B68"/>
    <mergeCell ref="B69:B71"/>
    <mergeCell ref="B72:B74"/>
    <mergeCell ref="B75:B77"/>
    <mergeCell ref="B78:B80"/>
    <mergeCell ref="B81:B83"/>
    <mergeCell ref="B109:B111"/>
    <mergeCell ref="A182:A292"/>
    <mergeCell ref="B116:B117"/>
    <mergeCell ref="B118:B119"/>
    <mergeCell ref="B120:B121"/>
    <mergeCell ref="B284:B292"/>
    <mergeCell ref="B275:B283"/>
    <mergeCell ref="B265:B274"/>
    <mergeCell ref="B255:B264"/>
    <mergeCell ref="B245:B254"/>
    <mergeCell ref="B2:B4"/>
    <mergeCell ref="B8:B10"/>
    <mergeCell ref="B11:B13"/>
    <mergeCell ref="B14:B16"/>
    <mergeCell ref="B17:B19"/>
    <mergeCell ref="B20:B22"/>
    <mergeCell ref="B23:B25"/>
    <mergeCell ref="B26:B28"/>
    <mergeCell ref="B29:B31"/>
    <mergeCell ref="B5:B7"/>
  </mergeCells>
  <conditionalFormatting sqref="I182:J182 B182:H194 I183 I184:J185 I187:J190 I191 I192:J192 I193 I194:J196 B195:C195 E195:H195 B196:H196 B197:C197 E197:I197 B198:H198 I198:J200 B199:C199 E199:H199 C200:H200 B200:B202 C201 E201:I201 I202:J202 C202:H205 I203 I204:J205 C206 E206:I206 C207:H207 I207:J209 C208 E208:H208 C209:H209 C210 E210:I210 B211 I211:J211 C211:H214 I212 I213:J214 C215 E215:I215 C216:H216 I216:J218 C217 E217:H217 C218:H218 C219 E219:I219 B220:J220 I221 C221:H223 I222:J223 C224 E224:I224 C225:H225 I225:J227 C226 E226:H226 C227:H227 C228 E228:I228 B229:J229 C230:J230 C231 E231:I231 C232:H232 I232:J233 C233 E233:H233 C234:J234 C235 E235:I235 B236:J236 I237 C237:H239 I238:J239 C240 E240:I240 C241:H241 I241:J242 C242 E242:H242 C243:J243 C244 E244:I244 B245:J245 C246 E246:H246 I246:I247 C247:H249 I248:J249 C250 E250:I250 C251:H251 I251:J253 C252 E252:H252 C253:H253 C254 E254:I254 B255:J255 C256 E256:H256 I256:I257 C257:H259 I258:J259 C260 E260:I260 C261:H261 I261:J263 C262 E262:H262 C263:H263 C264 E264:I264 B265:J265 C266 E266:H266 I266:I267 C267:H269 I268:J269 C270 E270:I270 C271:H271 I271:J273 C272 E272:H272 C273:H273 C274 E274:I274 B275:J275 I276 C276:H278 I277:J278 C279 E279:I279 C280:H280 I280:J282 C281 E281:H281 C282:H282 C283 E283:I283 B284:J284 I285 C285:H287 I286:J287 C288 E288:I288 C289:H289 I289:J291 C290 E290:H290 C291:H291 C292 E292:I292">
    <cfRule type="containsBlanks" dxfId="14" priority="2">
      <formula>LEN(TRIM(B182))=0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8F1F5-3515-4FF2-A069-FDA942AE4FA8}">
  <dimension ref="A1:N359"/>
  <sheetViews>
    <sheetView zoomScale="85" zoomScaleNormal="85" workbookViewId="0">
      <pane xSplit="4" ySplit="1" topLeftCell="L327" activePane="bottomRight" state="frozen"/>
      <selection pane="topRight"/>
      <selection pane="bottomLeft"/>
      <selection pane="bottomRight" activeCell="M327" sqref="M327"/>
    </sheetView>
  </sheetViews>
  <sheetFormatPr baseColWidth="10" defaultColWidth="8.6640625" defaultRowHeight="15" x14ac:dyDescent="0.2"/>
  <cols>
    <col min="1" max="1" width="12.5" customWidth="1"/>
    <col min="2" max="2" width="9.5" style="11" customWidth="1"/>
    <col min="3" max="3" width="35" style="3" customWidth="1"/>
    <col min="4" max="4" width="15.5" style="89" customWidth="1"/>
    <col min="5" max="5" width="40.5" bestFit="1" customWidth="1"/>
    <col min="6" max="6" width="9.33203125" customWidth="1"/>
    <col min="7" max="7" width="14" style="292" customWidth="1"/>
    <col min="8" max="9" width="14" customWidth="1"/>
    <col min="10" max="10" width="23" style="274" customWidth="1"/>
    <col min="11" max="11" width="20.33203125" style="126" customWidth="1"/>
    <col min="12" max="12" width="17.1640625" style="55" customWidth="1"/>
    <col min="13" max="13" width="16.6640625" style="99" customWidth="1"/>
    <col min="14" max="14" width="14.33203125" style="99" customWidth="1"/>
  </cols>
  <sheetData>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 spans="1:14" s="10" customFormat="1" ht="48" x14ac:dyDescent="0.2">
      <c r="A1" s="19" t="s">
        <v>0</v>
      </c>
      <c r="B1" s="8" t="s">
        <v>1494</v>
      </c>
      <c r="C1" s="8" t="s">
        <v>823</v>
      </c>
      <c r="D1" s="82" t="s">
        <v>1495</v>
      </c>
      <c r="E1" s="8" t="s">
        <v>1496</v>
      </c>
      <c r="F1" s="8" t="s">
        <v>1497</v>
      </c>
      <c r="G1" s="276" t="s">
        <v>1498</v>
      </c>
      <c r="H1" s="9" t="s">
        <v>829</v>
      </c>
      <c r="I1" s="9" t="s">
        <v>1499</v>
      </c>
      <c r="J1" s="272" t="s">
        <v>1500</v>
      </c>
      <c r="K1" s="127" t="s">
        <v>1501</v>
      </c>
      <c r="L1" s="77" t="s">
        <v>1502</v>
      </c>
      <c r="M1" s="91" t="s">
        <v>1503</v>
      </c>
      <c r="N1" s="92" t="s">
        <v>1504</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 spans="1:14" ht="14.5" customHeight="1" x14ac:dyDescent="0.2">
      <c r="A2" s="673" t="s">
        <v>12</v>
      </c>
      <c r="B2" s="617" t="s">
        <v>15</v>
      </c>
      <c r="C2" s="675" t="s">
        <v>832</v>
      </c>
      <c r="D2" s="655">
        <v>200000</v>
      </c>
      <c r="E2" s="25" t="s">
        <v>833</v>
      </c>
      <c r="F2" s="25" t="s">
        <v>859</v>
      </c>
      <c r="G2" s="277">
        <v>15</v>
      </c>
      <c r="H2" s="4" t="s">
        <v>838</v>
      </c>
      <c r="I2" s="4" t="s">
        <v>839</v>
      </c>
      <c r="J2" s="60" cm="1">
        <f t="array" ref="J2">_xlfn.IFS(I2 = "Catastrophic", 90%, I2 = "Major", 70%, I2 = "Moderate", 50%, I2 = "Minor", 30%, I2 = "Negligible", 5%)</f>
        <v>0.9</v>
      </c>
      <c r="K2" s="123">
        <f t="shared" ref="K2:K103" si="0">D2*J2</f>
        <v>180000</v>
      </c>
      <c r="L2" s="25" cm="1">
        <f t="array" ref="L2">_xlfn.IFS(H2 = "Almost Certain", 0.8, H2 = "Likely", 0.75, H2 = "Possible", 0.5, H2 = "Unlikely", 0.25, H2= "Rare", 0.1)</f>
        <v>0.5</v>
      </c>
      <c r="M2" s="93">
        <f t="shared" ref="M2:M103" si="1">K2*L2</f>
        <v>90000</v>
      </c>
      <c r="N2" s="93">
        <f t="shared" ref="N2:N65" si="2">M2</f>
        <v>90000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 spans="1:14" ht="16" x14ac:dyDescent="0.2">
      <c r="E3" s="25" t="s">
        <v>841</v>
      </c>
      <c r="F3" s="25" t="s">
        <v>859</v>
      </c>
      <c r="G3" s="277">
        <v>20</v>
      </c>
      <c r="H3" s="4" t="s">
        <v>838</v>
      </c>
      <c r="I3" s="4" t="s">
        <v>840</v>
      </c>
      <c r="J3" s="60" cm="1">
        <f t="array" ref="J3">_xlfn.IFS(I3 = "Catastrophic", 90%, I3 = "Major", 70%, I3 = "Moderate", 50%, I3 = "Minor", 30%, I3 = "Negligible", 5%)</f>
        <v>0.7</v>
      </c>
      <c r="K3" s="123">
        <f>D2*J3</f>
        <v>140000</v>
      </c>
      <c r="L3" s="25" cm="1">
        <f t="array" ref="L3">_xlfn.IFS(H3 = "Almost Certain", 0.8, H3 = "Likely", 0.75, H3 = "Possible", 0.5, H3 = "Unlikely", 0.25, H3= "Rare", 0.1)</f>
        <v>0.5</v>
      </c>
      <c r="M3" s="93">
        <f t="shared" si="1"/>
        <v>70000</v>
      </c>
      <c r="N3" s="93">
        <f t="shared" si="2"/>
        <v>70000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 spans="1:14" ht="16" x14ac:dyDescent="0.2">
      <c r="E4" s="25" t="s">
        <v>845</v>
      </c>
      <c r="F4" s="25" t="s">
        <v>859</v>
      </c>
      <c r="G4" s="277">
        <v>30</v>
      </c>
      <c r="H4" s="4" t="s">
        <v>850</v>
      </c>
      <c r="I4" s="4" t="s">
        <v>840</v>
      </c>
      <c r="J4" s="60" cm="1">
        <f t="array" ref="J4">_xlfn.IFS(I4 = "Catastrophic", 90%, I4 = "Major", 70%, I4 = "Moderate", 50%, I4 = "Minor", 30%, I4 = "Negligible", 5%)</f>
        <v>0.7</v>
      </c>
      <c r="K4" s="123">
        <f>D2*J4</f>
        <v>140000</v>
      </c>
      <c r="L4" s="25" cm="1">
        <f t="array" ref="L4">_xlfn.IFS(H4 = "Almost Certain", 0.8, H4 = "Likely", 0.75, H4 = "Possible", 0.5, H4 = "Unlikely", 0.25, H4= "Rare", 0.1)</f>
        <v>0.75</v>
      </c>
      <c r="M4" s="93">
        <f t="shared" si="1"/>
        <v>105000</v>
      </c>
      <c r="N4" s="93">
        <f t="shared" si="2"/>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 spans="1:14" ht="16" x14ac:dyDescent="0.2">
      <c r="B5" s="617" t="s">
        <v>23</v>
      </c>
      <c r="C5" s="675" t="s">
        <v>24</v>
      </c>
      <c r="D5" s="655">
        <v>200000</v>
      </c>
      <c r="E5" s="25" t="s">
        <v>851</v>
      </c>
      <c r="F5" s="35" t="s">
        <v>859</v>
      </c>
      <c r="G5" s="277">
        <v>20</v>
      </c>
      <c r="H5" s="4" t="s">
        <v>850</v>
      </c>
      <c r="I5" s="4" t="s">
        <v>840</v>
      </c>
      <c r="J5" s="60" cm="1">
        <f t="array" ref="J5">_xlfn.IFS(I5 = "Catastrophic", 90%, I5 = "Major", 70%, I5 = "Moderate", 50%, I5 = "Minor", 30%, I5 = "Negligible", 5%)</f>
        <v>0.7</v>
      </c>
      <c r="K5" s="123">
        <f t="shared" si="0"/>
        <v>140000</v>
      </c>
      <c r="L5" s="25" cm="1">
        <f t="array" ref="L5">_xlfn.IFS(H5 = "Almost Certain", 0.8, H5 = "Likely", 0.75, H5 = "Possible", 0.5, H5 = "Unlikely", 0.25, H5= "Rare", 0.1)</f>
        <v>0.75</v>
      </c>
      <c r="M5" s="93">
        <f t="shared" si="1"/>
        <v>105000</v>
      </c>
      <c r="N5" s="93">
        <f t="shared" si="2"/>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 spans="1:14" ht="16" x14ac:dyDescent="0.2">
      <c r="E6" s="25" t="s">
        <v>855</v>
      </c>
      <c r="F6" s="35" t="s">
        <v>1505</v>
      </c>
      <c r="G6" s="277">
        <v>20</v>
      </c>
      <c r="H6" s="4" t="s">
        <v>858</v>
      </c>
      <c r="I6" s="4" t="s">
        <v>840</v>
      </c>
      <c r="J6" s="60" cm="1">
        <f t="array" ref="J6">_xlfn.IFS(I6 = "Catastrophic", 90%, I6 = "Major", 70%, I6 = "Moderate", 50%, I6 = "Minor", 30%, I6 = "Negligible", 5%)</f>
        <v>0.7</v>
      </c>
      <c r="K6" s="123">
        <f t="shared" ref="K6" si="3">D5*J6</f>
        <v>140000</v>
      </c>
      <c r="L6" s="25" cm="1">
        <f t="array" ref="L6">_xlfn.IFS(H6 = "Almost Certain", 0.8, H6 = "Likely", 0.75, H6 = "Possible", 0.5, H6 = "Unlikely", 0.25, H6= "Rare", 0.1)</f>
        <v>0.8</v>
      </c>
      <c r="M6" s="93">
        <f t="shared" si="1"/>
        <v>112000</v>
      </c>
      <c r="N6" s="93">
        <f t="shared" si="2"/>
        <v>112000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 spans="1:14" ht="16" x14ac:dyDescent="0.2">
      <c r="E7" s="25" t="s">
        <v>860</v>
      </c>
      <c r="F7" s="35" t="s">
        <v>1505</v>
      </c>
      <c r="G7" s="277">
        <v>10</v>
      </c>
      <c r="H7" s="4" t="s">
        <v>850</v>
      </c>
      <c r="I7" s="4" t="s">
        <v>840</v>
      </c>
      <c r="J7" s="60" cm="1">
        <f t="array" ref="J7">_xlfn.IFS(I7 = "Catastrophic", 90%, I7 = "Major", 70%, I7 = "Moderate", 50%, I7 = "Minor", 30%, I7 = "Negligible", 5%)</f>
        <v>0.7</v>
      </c>
      <c r="K7" s="123">
        <f t="shared" ref="K7" si="4">D5*J7</f>
        <v>140000</v>
      </c>
      <c r="L7" s="25" cm="1">
        <f t="array" ref="L7">_xlfn.IFS(H7 = "Almost Certain", 0.8, H7 = "Likely", 0.75, H7 = "Possible", 0.5, H7 = "Unlikely", 0.25, H7= "Rare", 0.1)</f>
        <v>0.75</v>
      </c>
      <c r="M7" s="93">
        <f>K7*L7</f>
        <v>105000</v>
      </c>
      <c r="N7" s="93">
        <f t="shared" si="2"/>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 spans="1:14" ht="16" x14ac:dyDescent="0.2">
      <c r="B8" s="617" t="s">
        <v>30</v>
      </c>
      <c r="C8" s="675" t="s">
        <v>864</v>
      </c>
      <c r="D8" s="655">
        <v>100000</v>
      </c>
      <c r="E8" s="25" t="s">
        <v>865</v>
      </c>
      <c r="F8" s="35" t="s">
        <v>859</v>
      </c>
      <c r="G8" s="277">
        <v>5</v>
      </c>
      <c r="H8" s="4" t="s">
        <v>838</v>
      </c>
      <c r="I8" s="4" t="s">
        <v>859</v>
      </c>
      <c r="J8" s="60" cm="1">
        <f t="array" ref="J8">_xlfn.IFS(I8 = "Catastrophic", 90%, I8 = "Major", 70%, I8 = "Moderate", 50%, I8 = "Minor", 30%, I8 = "Negligible", 5%)</f>
        <v>0.5</v>
      </c>
      <c r="K8" s="123">
        <f t="shared" si="0"/>
        <v>50000</v>
      </c>
      <c r="L8" s="25" cm="1">
        <f t="array" ref="L8">_xlfn.IFS(H8 = "Almost Certain", 0.8, H8 = "Likely", 0.75, H8 = "Possible", 0.5, H8 = "Unlikely", 0.25, H8= "Rare", 0.1)</f>
        <v>0.5</v>
      </c>
      <c r="M8" s="93">
        <f t="shared" si="1"/>
        <v>25000</v>
      </c>
      <c r="N8" s="93">
        <f t="shared" si="2"/>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 spans="1:14" ht="16" x14ac:dyDescent="0.2">
      <c r="E9" s="25" t="s">
        <v>869</v>
      </c>
      <c r="F9" s="35" t="s">
        <v>859</v>
      </c>
      <c r="G9" s="277">
        <v>30</v>
      </c>
      <c r="H9" s="4" t="s">
        <v>838</v>
      </c>
      <c r="I9" s="4" t="s">
        <v>840</v>
      </c>
      <c r="J9" s="60" cm="1">
        <f t="array" ref="J9">_xlfn.IFS(I9 = "Catastrophic", 90%, I9 = "Major", 70%, I9 = "Moderate", 50%, I9 = "Minor", 30%, I9 = "Negligible", 5%)</f>
        <v>0.7</v>
      </c>
      <c r="K9" s="123">
        <f t="shared" ref="K9" si="5">D8*J9</f>
        <v>70000</v>
      </c>
      <c r="L9" s="25" cm="1">
        <f t="array" ref="L9">_xlfn.IFS(H9 = "Almost Certain", 0.8, H9 = "Likely", 0.75, H9 = "Possible", 0.5, H9 = "Unlikely", 0.25, H9= "Rare", 0.1)</f>
        <v>0.5</v>
      </c>
      <c r="M9" s="93">
        <f t="shared" si="1"/>
        <v>35000</v>
      </c>
      <c r="N9" s="93">
        <f t="shared" si="2"/>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 spans="1:14" ht="16" x14ac:dyDescent="0.2">
      <c r="E10" s="25" t="s">
        <v>860</v>
      </c>
      <c r="F10" s="35" t="s">
        <v>1505</v>
      </c>
      <c r="G10" s="277">
        <v>10</v>
      </c>
      <c r="H10" s="4" t="s">
        <v>850</v>
      </c>
      <c r="I10" s="4" t="s">
        <v>840</v>
      </c>
      <c r="J10" s="60" cm="1">
        <f t="array" ref="J10">_xlfn.IFS(I10 = "Catastrophic", 90%, I10 = "Major", 70%, I10 = "Moderate", 50%, I10 = "Minor", 30%, I10 = "Negligible", 5%)</f>
        <v>0.7</v>
      </c>
      <c r="K10" s="123">
        <f t="shared" ref="K10" si="6">D8*J10</f>
        <v>70000</v>
      </c>
      <c r="L10" s="25" cm="1">
        <f t="array" ref="L10">_xlfn.IFS(H10 = "Almost Certain", 0.8, H10 = "Likely", 0.75, H10 = "Possible", 0.5, H10 = "Unlikely", 0.25, H10= "Rare", 0.1)</f>
        <v>0.75</v>
      </c>
      <c r="M10" s="93">
        <f t="shared" si="1"/>
        <v>52500</v>
      </c>
      <c r="N10" s="93">
        <f>M10</f>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 spans="1:14" ht="16" x14ac:dyDescent="0.2">
      <c r="B11" s="617" t="s">
        <v>39</v>
      </c>
      <c r="C11" s="675" t="s">
        <v>47</v>
      </c>
      <c r="D11" s="655">
        <v>80000</v>
      </c>
      <c r="E11" s="25" t="s">
        <v>1506</v>
      </c>
      <c r="F11" s="35" t="s">
        <v>1505</v>
      </c>
      <c r="G11" s="277">
        <v>20</v>
      </c>
      <c r="H11" s="4" t="s">
        <v>850</v>
      </c>
      <c r="I11" s="4" t="s">
        <v>839</v>
      </c>
      <c r="J11" s="60" cm="1">
        <f t="array" ref="J11">_xlfn.IFS(I11 = "Catastrophic", 90%, I11 = "Major", 70%, I11 = "Moderate", 50%, I11 = "Minor", 30%, I11 = "Negligible", 5%)</f>
        <v>0.9</v>
      </c>
      <c r="K11" s="123">
        <f t="shared" si="0"/>
        <v>72000</v>
      </c>
      <c r="L11" s="25" cm="1">
        <f t="array" ref="L11">_xlfn.IFS(H11 = "Almost Certain", 0.8, H11 = "Likely", 0.75, H11 = "Possible", 0.5, H11 = "Unlikely", 0.25, H11= "Rare", 0.1)</f>
        <v>0.75</v>
      </c>
      <c r="M11" s="93">
        <f t="shared" si="1"/>
        <v>54000</v>
      </c>
      <c r="N11" s="93">
        <f t="shared" si="2"/>
        <v>54000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 spans="1:14" ht="16" x14ac:dyDescent="0.2">
      <c r="E12" s="25" t="s">
        <v>833</v>
      </c>
      <c r="F12" s="35" t="s">
        <v>859</v>
      </c>
      <c r="G12" s="277">
        <v>15</v>
      </c>
      <c r="H12" s="4" t="s">
        <v>850</v>
      </c>
      <c r="I12" s="4" t="s">
        <v>840</v>
      </c>
      <c r="J12" s="60" cm="1">
        <f t="array" ref="J12">_xlfn.IFS(I12 = "Catastrophic", 90%, I12 = "Major", 70%, I12 = "Moderate", 50%, I12 = "Minor", 30%, I12 = "Negligible", 5%)</f>
        <v>0.7</v>
      </c>
      <c r="K12" s="123">
        <f t="shared" ref="K12" si="7">D11*J12</f>
        <v>56000</v>
      </c>
      <c r="L12" s="25" cm="1">
        <f t="array" ref="L12">_xlfn.IFS(H12 = "Almost Certain", 0.8, H12 = "Likely", 0.75, H12 = "Possible", 0.5, H12 = "Unlikely", 0.25, H12= "Rare", 0.1)</f>
        <v>0.75</v>
      </c>
      <c r="M12" s="93">
        <f t="shared" si="1"/>
        <v>42000</v>
      </c>
      <c r="N12" s="93">
        <f t="shared" si="2"/>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 spans="1:14" ht="14.5" customHeight="1" x14ac:dyDescent="0.2">
      <c r="E13" s="25" t="s">
        <v>884</v>
      </c>
      <c r="F13" s="35" t="s">
        <v>1507</v>
      </c>
      <c r="G13" s="277">
        <v>10</v>
      </c>
      <c r="H13" s="4" t="s">
        <v>838</v>
      </c>
      <c r="I13" s="4" t="s">
        <v>859</v>
      </c>
      <c r="J13" s="60" cm="1">
        <f t="array" ref="J13">_xlfn.IFS(I13 = "Catastrophic", 90%, I13 = "Major", 70%, I13 = "Moderate", 50%, I13 = "Minor", 30%, I13 = "Negligible", 5%)</f>
        <v>0.5</v>
      </c>
      <c r="K13" s="123">
        <f t="shared" ref="K13" si="8">D11*J13</f>
        <v>40000</v>
      </c>
      <c r="L13" s="25" cm="1">
        <f t="array" ref="L13">_xlfn.IFS(H13 = "Almost Certain", 0.8, H13 = "Likely", 0.75, H13 = "Possible", 0.5, H13 = "Unlikely", 0.25, H13= "Rare", 0.1)</f>
        <v>0.5</v>
      </c>
      <c r="M13" s="93">
        <f t="shared" si="1"/>
        <v>20000</v>
      </c>
      <c r="N13" s="93">
        <f t="shared" si="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 spans="1:14" ht="16" x14ac:dyDescent="0.2">
      <c r="B14" s="617" t="s">
        <v>46</v>
      </c>
      <c r="C14" s="675" t="s">
        <v>40</v>
      </c>
      <c r="D14" s="655">
        <v>70000</v>
      </c>
      <c r="E14" s="25" t="s">
        <v>887</v>
      </c>
      <c r="F14" s="35" t="s">
        <v>1505</v>
      </c>
      <c r="G14" s="277">
        <v>15</v>
      </c>
      <c r="H14" s="4" t="s">
        <v>850</v>
      </c>
      <c r="I14" s="4" t="s">
        <v>840</v>
      </c>
      <c r="J14" s="60" cm="1">
        <f t="array" ref="J14">_xlfn.IFS(I14 = "Catastrophic", 90%, I14 = "Major", 70%, I14 = "Moderate", 50%, I14 = "Minor", 30%, I14 = "Negligible", 5%)</f>
        <v>0.7</v>
      </c>
      <c r="K14" s="123">
        <f t="shared" si="0"/>
        <v>49000</v>
      </c>
      <c r="L14" s="25" cm="1">
        <f t="array" ref="L14">_xlfn.IFS(H14 = "Almost Certain", 0.8, H14 = "Likely", 0.75, H14 = "Possible", 0.5, H14 = "Unlikely", 0.25, H14= "Rare", 0.1)</f>
        <v>0.75</v>
      </c>
      <c r="M14" s="93">
        <f t="shared" si="1"/>
        <v>36750</v>
      </c>
      <c r="N14" s="93">
        <f t="shared" si="2"/>
        <v>36750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 spans="1:14" ht="16" x14ac:dyDescent="0.2">
      <c r="E15" s="25" t="s">
        <v>891</v>
      </c>
      <c r="F15" s="35" t="s">
        <v>1505</v>
      </c>
      <c r="G15" s="277">
        <v>20</v>
      </c>
      <c r="H15" s="4" t="s">
        <v>858</v>
      </c>
      <c r="I15" s="4" t="s">
        <v>840</v>
      </c>
      <c r="J15" s="60" cm="1">
        <f t="array" ref="J15">_xlfn.IFS(I15 = "Catastrophic", 90%, I15 = "Major", 70%, I15 = "Moderate", 50%, I15 = "Minor", 30%, I15 = "Negligible", 5%)</f>
        <v>0.7</v>
      </c>
      <c r="K15" s="123">
        <f t="shared" ref="K15" si="9">D14*J15</f>
        <v>49000</v>
      </c>
      <c r="L15" s="25" cm="1">
        <f t="array" ref="L15">_xlfn.IFS(H15 = "Almost Certain", 0.8, H15 = "Likely", 0.75, H15 = "Possible", 0.5, H15 = "Unlikely", 0.25, H15= "Rare", 0.1)</f>
        <v>0.8</v>
      </c>
      <c r="M15" s="93">
        <f t="shared" si="1"/>
        <v>39200</v>
      </c>
      <c r="N15" s="93">
        <f t="shared" si="2"/>
        <v>39200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 spans="1:14" ht="16" x14ac:dyDescent="0.2">
      <c r="E16" s="25" t="s">
        <v>894</v>
      </c>
      <c r="F16" s="35" t="s">
        <v>1505</v>
      </c>
      <c r="G16" s="277">
        <v>20</v>
      </c>
      <c r="H16" s="4" t="s">
        <v>838</v>
      </c>
      <c r="I16" s="4" t="s">
        <v>839</v>
      </c>
      <c r="J16" s="60" cm="1">
        <f t="array" ref="J16">_xlfn.IFS(I16 = "Catastrophic", 90%, I16 = "Major", 70%, I16 = "Moderate", 50%, I16 = "Minor", 30%, I16 = "Negligible", 5%)</f>
        <v>0.9</v>
      </c>
      <c r="K16" s="123">
        <f t="shared" ref="K16" si="10">D14*J16</f>
        <v>63000</v>
      </c>
      <c r="L16" s="25" cm="1">
        <f t="array" ref="L16">_xlfn.IFS(H16 = "Almost Certain", 0.8, H16 = "Likely", 0.75, H16 = "Possible", 0.5, H16 = "Unlikely", 0.25, H16= "Rare", 0.1)</f>
        <v>0.5</v>
      </c>
      <c r="M16" s="93">
        <f t="shared" si="1"/>
        <v>31500</v>
      </c>
      <c r="N16" s="93">
        <f t="shared" si="2"/>
        <v>31500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 spans="1:14" ht="16" x14ac:dyDescent="0.2">
      <c r="B17" s="617" t="s">
        <v>53</v>
      </c>
      <c r="C17" s="675" t="s">
        <v>54</v>
      </c>
      <c r="D17" s="655">
        <v>50000</v>
      </c>
      <c r="E17" s="25" t="s">
        <v>897</v>
      </c>
      <c r="F17" s="35" t="s">
        <v>1505</v>
      </c>
      <c r="G17" s="277">
        <v>20</v>
      </c>
      <c r="H17" s="4" t="s">
        <v>858</v>
      </c>
      <c r="I17" s="4" t="s">
        <v>839</v>
      </c>
      <c r="J17" s="60" cm="1">
        <f t="array" ref="J17">_xlfn.IFS(I17 = "Catastrophic", 90%, I17 = "Major", 70%, I17 = "Moderate", 50%, I17 = "Minor", 30%, I17 = "Negligible", 5%)</f>
        <v>0.9</v>
      </c>
      <c r="K17" s="123">
        <f t="shared" si="0"/>
        <v>45000</v>
      </c>
      <c r="L17" s="25" cm="1">
        <f t="array" ref="L17">_xlfn.IFS(H17 = "Almost Certain", 0.8, H17 = "Likely", 0.75, H17 = "Possible", 0.5, H17 = "Unlikely", 0.25, H17= "Rare", 0.1)</f>
        <v>0.8</v>
      </c>
      <c r="M17" s="93">
        <f t="shared" si="1"/>
        <v>36000</v>
      </c>
      <c r="N17" s="93">
        <f t="shared" si="2"/>
        <v>36000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 spans="1:14" ht="16" x14ac:dyDescent="0.2">
      <c r="E18" s="25" t="s">
        <v>833</v>
      </c>
      <c r="F18" s="35" t="s">
        <v>859</v>
      </c>
      <c r="G18" s="277">
        <v>15</v>
      </c>
      <c r="H18" s="4" t="s">
        <v>850</v>
      </c>
      <c r="I18" s="4" t="s">
        <v>840</v>
      </c>
      <c r="J18" s="60" cm="1">
        <f t="array" ref="J18">_xlfn.IFS(I18 = "Catastrophic", 90%, I18 = "Major", 70%, I18 = "Moderate", 50%, I18 = "Minor", 30%, I18 = "Negligible", 5%)</f>
        <v>0.7</v>
      </c>
      <c r="K18" s="123">
        <f t="shared" ref="K18" si="11">D17*J18</f>
        <v>35000</v>
      </c>
      <c r="L18" s="25" cm="1">
        <f t="array" ref="L18">_xlfn.IFS(H18 = "Almost Certain", 0.8, H18 = "Likely", 0.75, H18 = "Possible", 0.5, H18 = "Unlikely", 0.25, H18= "Rare", 0.1)</f>
        <v>0.75</v>
      </c>
      <c r="M18" s="93">
        <f t="shared" si="1"/>
        <v>26250</v>
      </c>
      <c r="N18" s="93">
        <f t="shared" si="2"/>
        <v>26250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 spans="1:14" ht="16" x14ac:dyDescent="0.2">
      <c r="E19" s="25" t="s">
        <v>845</v>
      </c>
      <c r="F19" s="35" t="s">
        <v>859</v>
      </c>
      <c r="G19" s="277">
        <v>20</v>
      </c>
      <c r="H19" s="4" t="s">
        <v>850</v>
      </c>
      <c r="I19" s="4" t="s">
        <v>859</v>
      </c>
      <c r="J19" s="60" cm="1">
        <f t="array" ref="J19">_xlfn.IFS(I19 = "Catastrophic", 90%, I19 = "Major", 70%, I19 = "Moderate", 50%, I19 = "Minor", 30%, I19 = "Negligible", 5%)</f>
        <v>0.5</v>
      </c>
      <c r="K19" s="123">
        <f t="shared" ref="K19" si="12">D17*J19</f>
        <v>25000</v>
      </c>
      <c r="L19" s="25" cm="1">
        <f t="array" ref="L19">_xlfn.IFS(H19 = "Almost Certain", 0.8, H19 = "Likely", 0.75, H19 = "Possible", 0.5, H19 = "Unlikely", 0.25, H19= "Rare", 0.1)</f>
        <v>0.75</v>
      </c>
      <c r="M19" s="93">
        <f t="shared" si="1"/>
        <v>18750</v>
      </c>
      <c r="N19" s="93">
        <f t="shared" si="2"/>
        <v>18750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 spans="1:14" ht="16" x14ac:dyDescent="0.2">
      <c r="B20" s="617" t="s">
        <v>62</v>
      </c>
      <c r="C20" s="675" t="s">
        <v>903</v>
      </c>
      <c r="D20" s="655">
        <v>80000</v>
      </c>
      <c r="E20" s="25" t="s">
        <v>904</v>
      </c>
      <c r="F20" s="35" t="s">
        <v>859</v>
      </c>
      <c r="G20" s="277">
        <v>15</v>
      </c>
      <c r="H20" s="4" t="s">
        <v>838</v>
      </c>
      <c r="I20" s="4" t="s">
        <v>840</v>
      </c>
      <c r="J20" s="60" cm="1">
        <f t="array" ref="J20">_xlfn.IFS(I20 = "Catastrophic", 90%, I20 = "Major", 70%, I20 = "Moderate", 50%, I20 = "Minor", 30%, I20 = "Negligible", 5%)</f>
        <v>0.7</v>
      </c>
      <c r="K20" s="123">
        <f t="shared" si="0"/>
        <v>56000</v>
      </c>
      <c r="L20" s="25" cm="1">
        <f t="array" ref="L20">_xlfn.IFS(H20 = "Almost Certain", 0.8, H20 = "Likely", 0.75, H20 = "Possible", 0.5, H20 = "Unlikely", 0.25, H20= "Rare", 0.1)</f>
        <v>0.5</v>
      </c>
      <c r="M20" s="93">
        <f t="shared" si="1"/>
        <v>28000</v>
      </c>
      <c r="N20" s="93">
        <f t="shared" si="2"/>
        <v>28000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 spans="1:14" ht="16" x14ac:dyDescent="0.2">
      <c r="E21" s="25" t="s">
        <v>908</v>
      </c>
      <c r="F21" s="35" t="s">
        <v>1505</v>
      </c>
      <c r="G21" s="277">
        <v>20</v>
      </c>
      <c r="H21" s="4" t="s">
        <v>858</v>
      </c>
      <c r="I21" s="4" t="s">
        <v>839</v>
      </c>
      <c r="J21" s="60" cm="1">
        <f t="array" ref="J21">_xlfn.IFS(I21 = "Catastrophic", 90%, I21 = "Major", 70%, I21 = "Moderate", 50%, I21 = "Minor", 30%, I21 = "Negligible", 5%)</f>
        <v>0.9</v>
      </c>
      <c r="K21" s="123">
        <f t="shared" ref="K21" si="13">D20*J21</f>
        <v>72000</v>
      </c>
      <c r="L21" s="25" cm="1">
        <f t="array" ref="L21">_xlfn.IFS(H21 = "Almost Certain", 0.8, H21 = "Likely", 0.75, H21 = "Possible", 0.5, H21 = "Unlikely", 0.25, H21= "Rare", 0.1)</f>
        <v>0.8</v>
      </c>
      <c r="M21" s="93">
        <f t="shared" si="1"/>
        <v>57600</v>
      </c>
      <c r="N21" s="93">
        <f t="shared" si="2"/>
        <v>57600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 spans="1:14" ht="16" x14ac:dyDescent="0.2">
      <c r="E22" s="25" t="s">
        <v>912</v>
      </c>
      <c r="F22" s="35" t="s">
        <v>1507</v>
      </c>
      <c r="G22" s="277">
        <v>10</v>
      </c>
      <c r="H22" s="4" t="s">
        <v>838</v>
      </c>
      <c r="I22" s="4" t="s">
        <v>859</v>
      </c>
      <c r="J22" s="60" cm="1">
        <f t="array" ref="J22">_xlfn.IFS(I22 = "Catastrophic", 90%, I22 = "Major", 70%, I22 = "Moderate", 50%, I22 = "Minor", 30%, I22 = "Negligible", 5%)</f>
        <v>0.5</v>
      </c>
      <c r="K22" s="123">
        <f t="shared" ref="K22" si="14">D20*J22</f>
        <v>40000</v>
      </c>
      <c r="L22" s="25" cm="1">
        <f t="array" ref="L22">_xlfn.IFS(H22 = "Almost Certain", 0.8, H22 = "Likely", 0.75, H22 = "Possible", 0.5, H22 = "Unlikely", 0.25, H22= "Rare", 0.1)</f>
        <v>0.5</v>
      </c>
      <c r="M22" s="93">
        <f t="shared" si="1"/>
        <v>20000</v>
      </c>
      <c r="N22" s="93">
        <f t="shared" si="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 spans="1:14" ht="16" x14ac:dyDescent="0.2">
      <c r="B23" s="617" t="s">
        <v>69</v>
      </c>
      <c r="C23" s="675" t="s">
        <v>70</v>
      </c>
      <c r="D23" s="655">
        <v>80000</v>
      </c>
      <c r="E23" s="25" t="s">
        <v>916</v>
      </c>
      <c r="F23" s="35" t="s">
        <v>1505</v>
      </c>
      <c r="G23" s="277">
        <v>20</v>
      </c>
      <c r="H23" s="4" t="s">
        <v>850</v>
      </c>
      <c r="I23" s="4" t="s">
        <v>840</v>
      </c>
      <c r="J23" s="60" cm="1">
        <f t="array" ref="J23">_xlfn.IFS(I23 = "Catastrophic", 90%, I23 = "Major", 70%, I23 = "Moderate", 50%, I23 = "Minor", 30%, I23 = "Negligible", 5%)</f>
        <v>0.7</v>
      </c>
      <c r="K23" s="123">
        <f t="shared" si="0"/>
        <v>56000</v>
      </c>
      <c r="L23" s="25" cm="1">
        <f t="array" ref="L23">_xlfn.IFS(H23 = "Almost Certain", 0.8, H23 = "Likely", 0.75, H23 = "Possible", 0.5, H23 = "Unlikely", 0.25, H23= "Rare", 0.1)</f>
        <v>0.75</v>
      </c>
      <c r="M23" s="93">
        <f t="shared" si="1"/>
        <v>42000</v>
      </c>
      <c r="N23" s="93">
        <f t="shared" si="2"/>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 spans="1:14" ht="16" x14ac:dyDescent="0.2">
      <c r="E24" s="25" t="s">
        <v>920</v>
      </c>
      <c r="F24" s="35" t="s">
        <v>859</v>
      </c>
      <c r="G24" s="277">
        <v>20</v>
      </c>
      <c r="H24" s="4" t="s">
        <v>858</v>
      </c>
      <c r="I24" s="4" t="s">
        <v>840</v>
      </c>
      <c r="J24" s="60" cm="1">
        <f t="array" ref="J24">_xlfn.IFS(I24 = "Catastrophic", 90%, I24 = "Major", 70%, I24 = "Moderate", 50%, I24 = "Minor", 30%, I24 = "Negligible", 5%)</f>
        <v>0.7</v>
      </c>
      <c r="K24" s="123">
        <f t="shared" ref="K24" si="15">D23*J24</f>
        <v>56000</v>
      </c>
      <c r="L24" s="25" cm="1">
        <f t="array" ref="L24">_xlfn.IFS(H24 = "Almost Certain", 0.8, H24 = "Likely", 0.75, H24 = "Possible", 0.5, H24 = "Unlikely", 0.25, H24= "Rare", 0.1)</f>
        <v>0.8</v>
      </c>
      <c r="M24" s="93">
        <f t="shared" si="1"/>
        <v>44800</v>
      </c>
      <c r="N24" s="93">
        <f t="shared" si="2"/>
        <v>44800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 spans="1:14" ht="16" x14ac:dyDescent="0.2">
      <c r="E25" s="25" t="s">
        <v>924</v>
      </c>
      <c r="F25" s="61" t="s">
        <v>1505</v>
      </c>
      <c r="G25" s="278">
        <v>5</v>
      </c>
      <c r="H25" s="4" t="s">
        <v>850</v>
      </c>
      <c r="I25" s="4" t="s">
        <v>840</v>
      </c>
      <c r="J25" s="60" cm="1">
        <f t="array" ref="J25">_xlfn.IFS(I25 = "Catastrophic", 90%, I25 = "Major", 70%, I25 = "Moderate", 50%, I25 = "Minor", 30%, I25 = "Negligible", 5%)</f>
        <v>0.7</v>
      </c>
      <c r="K25" s="123">
        <f t="shared" ref="K25" si="16">D23*J25</f>
        <v>56000</v>
      </c>
      <c r="L25" s="25" cm="1">
        <f t="array" ref="L25">_xlfn.IFS(H25 = "Almost Certain", 0.8, H25 = "Likely", 0.75, H25 = "Possible", 0.5, H25 = "Unlikely", 0.25, H25= "Rare", 0.1)</f>
        <v>0.75</v>
      </c>
      <c r="M25" s="93">
        <f t="shared" si="1"/>
        <v>42000</v>
      </c>
      <c r="N25" s="93">
        <f t="shared" si="2"/>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 spans="1:14" ht="16" x14ac:dyDescent="0.2">
      <c r="B26" s="617" t="s">
        <v>76</v>
      </c>
      <c r="C26" s="675" t="s">
        <v>77</v>
      </c>
      <c r="D26" s="655">
        <v>60000</v>
      </c>
      <c r="E26" s="25" t="s">
        <v>928</v>
      </c>
      <c r="F26" s="35" t="s">
        <v>1505</v>
      </c>
      <c r="G26" s="277">
        <v>20</v>
      </c>
      <c r="H26" s="4" t="s">
        <v>850</v>
      </c>
      <c r="I26" s="4" t="s">
        <v>840</v>
      </c>
      <c r="J26" s="60" cm="1">
        <f t="array" ref="J26">_xlfn.IFS(I26 = "Catastrophic", 90%, I26 = "Major", 70%, I26 = "Moderate", 50%, I26 = "Minor", 30%, I26 = "Negligible", 5%)</f>
        <v>0.7</v>
      </c>
      <c r="K26" s="123">
        <f t="shared" si="0"/>
        <v>42000</v>
      </c>
      <c r="L26" s="25" cm="1">
        <f t="array" ref="L26">_xlfn.IFS(H26 = "Almost Certain", 0.8, H26 = "Likely", 0.75, H26 = "Possible", 0.5, H26 = "Unlikely", 0.25, H26= "Rare", 0.1)</f>
        <v>0.75</v>
      </c>
      <c r="M26" s="93">
        <f t="shared" si="1"/>
        <v>31500</v>
      </c>
      <c r="N26" s="93">
        <f t="shared" si="2"/>
        <v>31500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 spans="1:14" ht="16" x14ac:dyDescent="0.2">
      <c r="E27" s="25" t="s">
        <v>932</v>
      </c>
      <c r="F27" s="61" t="s">
        <v>859</v>
      </c>
      <c r="G27" s="278">
        <v>10</v>
      </c>
      <c r="H27" s="4" t="s">
        <v>850</v>
      </c>
      <c r="I27" s="4" t="s">
        <v>840</v>
      </c>
      <c r="J27" s="60" cm="1">
        <f t="array" ref="J27">_xlfn.IFS(I27 = "Catastrophic", 90%, I27 = "Major", 70%, I27 = "Moderate", 50%, I27 = "Minor", 30%, I27 = "Negligible", 5%)</f>
        <v>0.7</v>
      </c>
      <c r="K27" s="123">
        <f t="shared" ref="K27" si="17">D26*J27</f>
        <v>42000</v>
      </c>
      <c r="L27" s="25" cm="1">
        <f t="array" ref="L27">_xlfn.IFS(H27 = "Almost Certain", 0.8, H27 = "Likely", 0.75, H27 = "Possible", 0.5, H27 = "Unlikely", 0.25, H27= "Rare", 0.1)</f>
        <v>0.75</v>
      </c>
      <c r="M27" s="93">
        <f t="shared" si="1"/>
        <v>31500</v>
      </c>
      <c r="N27" s="93">
        <f t="shared" si="2"/>
        <v>31500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 spans="1:14" ht="16" x14ac:dyDescent="0.2">
      <c r="E28" s="25" t="s">
        <v>935</v>
      </c>
      <c r="F28" s="35" t="s">
        <v>859</v>
      </c>
      <c r="G28" s="277">
        <v>20</v>
      </c>
      <c r="H28" s="4" t="s">
        <v>858</v>
      </c>
      <c r="I28" s="4" t="s">
        <v>840</v>
      </c>
      <c r="J28" s="60" cm="1">
        <f t="array" ref="J28">_xlfn.IFS(I28 = "Catastrophic", 90%, I28 = "Major", 70%, I28 = "Moderate", 50%, I28 = "Minor", 30%, I28 = "Negligible", 5%)</f>
        <v>0.7</v>
      </c>
      <c r="K28" s="123">
        <f t="shared" ref="K28" si="18">D26*J28</f>
        <v>42000</v>
      </c>
      <c r="L28" s="25" cm="1">
        <f t="array" ref="L28">_xlfn.IFS(H28 = "Almost Certain", 0.8, H28 = "Likely", 0.75, H28 = "Possible", 0.5, H28 = "Unlikely", 0.25, H28= "Rare", 0.1)</f>
        <v>0.8</v>
      </c>
      <c r="M28" s="93">
        <f t="shared" si="1"/>
        <v>33600</v>
      </c>
      <c r="N28" s="93">
        <f t="shared" si="2"/>
        <v>33600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 spans="1:14" ht="16" x14ac:dyDescent="0.2">
      <c r="B29" s="617" t="s">
        <v>85</v>
      </c>
      <c r="C29" s="675" t="s">
        <v>86</v>
      </c>
      <c r="D29" s="655">
        <v>100000</v>
      </c>
      <c r="E29" s="25" t="s">
        <v>937</v>
      </c>
      <c r="F29" s="35" t="s">
        <v>859</v>
      </c>
      <c r="G29" s="277">
        <v>15</v>
      </c>
      <c r="H29" s="4" t="s">
        <v>850</v>
      </c>
      <c r="I29" s="4" t="s">
        <v>840</v>
      </c>
      <c r="J29" s="60" cm="1">
        <f t="array" ref="J29">_xlfn.IFS(I29 = "Catastrophic", 90%, I29 = "Major", 70%, I29 = "Moderate", 50%, I29 = "Minor", 30%, I29 = "Negligible", 5%)</f>
        <v>0.7</v>
      </c>
      <c r="K29" s="123">
        <f t="shared" si="0"/>
        <v>70000</v>
      </c>
      <c r="L29" s="25" cm="1">
        <f t="array" ref="L29">_xlfn.IFS(H29 = "Almost Certain", 0.8, H29 = "Likely", 0.75, H29 = "Possible", 0.5, H29 = "Unlikely", 0.25, H29= "Rare", 0.1)</f>
        <v>0.75</v>
      </c>
      <c r="M29" s="93">
        <f t="shared" si="1"/>
        <v>52500</v>
      </c>
      <c r="N29" s="93">
        <f t="shared" si="2"/>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 spans="1:14" ht="16" x14ac:dyDescent="0.2">
      <c r="E30" s="25" t="s">
        <v>940</v>
      </c>
      <c r="F30" s="35" t="s">
        <v>1505</v>
      </c>
      <c r="G30" s="277">
        <v>20</v>
      </c>
      <c r="H30" s="4" t="s">
        <v>838</v>
      </c>
      <c r="I30" s="4" t="s">
        <v>839</v>
      </c>
      <c r="J30" s="60" cm="1">
        <f t="array" ref="J30">_xlfn.IFS(I30 = "Catastrophic", 90%, I30 = "Major", 70%, I30 = "Moderate", 50%, I30 = "Minor", 30%, I30 = "Negligible", 5%)</f>
        <v>0.9</v>
      </c>
      <c r="K30" s="123">
        <f t="shared" ref="K30" si="19">D29*J30</f>
        <v>90000</v>
      </c>
      <c r="L30" s="25" cm="1">
        <f t="array" ref="L30">_xlfn.IFS(H30 = "Almost Certain", 0.8, H30 = "Likely", 0.75, H30 = "Possible", 0.5, H30 = "Unlikely", 0.25, H30= "Rare", 0.1)</f>
        <v>0.5</v>
      </c>
      <c r="M30" s="93">
        <f t="shared" si="1"/>
        <v>45000</v>
      </c>
      <c r="N30" s="93">
        <f t="shared" si="2"/>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 spans="1:14" ht="16" x14ac:dyDescent="0.2">
      <c r="E31" s="25" t="s">
        <v>944</v>
      </c>
      <c r="F31" s="35" t="s">
        <v>1505</v>
      </c>
      <c r="G31" s="277">
        <v>5</v>
      </c>
      <c r="H31" s="4" t="s">
        <v>838</v>
      </c>
      <c r="I31" s="4" t="s">
        <v>839</v>
      </c>
      <c r="J31" s="60" cm="1">
        <f t="array" ref="J31">_xlfn.IFS(I31 = "Catastrophic", 90%, I31 = "Major", 70%, I31 = "Moderate", 50%, I31 = "Minor", 30%, I31 = "Negligible", 5%)</f>
        <v>0.9</v>
      </c>
      <c r="K31" s="123">
        <f t="shared" ref="K31" si="20">D29*J31</f>
        <v>90000</v>
      </c>
      <c r="L31" s="25" cm="1">
        <f t="array" ref="L31">_xlfn.IFS(H31 = "Almost Certain", 0.8, H31 = "Likely", 0.75, H31 = "Possible", 0.5, H31 = "Unlikely", 0.25, H31= "Rare", 0.1)</f>
        <v>0.5</v>
      </c>
      <c r="M31" s="93">
        <f t="shared" si="1"/>
        <v>45000</v>
      </c>
      <c r="N31" s="93">
        <f t="shared" si="2"/>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 spans="1:14" ht="16" x14ac:dyDescent="0.2">
      <c r="B32" s="617" t="s">
        <v>92</v>
      </c>
      <c r="C32" s="675" t="s">
        <v>93</v>
      </c>
      <c r="D32" s="655">
        <v>90000</v>
      </c>
      <c r="E32" s="25" t="s">
        <v>904</v>
      </c>
      <c r="F32" s="35" t="s">
        <v>859</v>
      </c>
      <c r="G32" s="277">
        <v>15</v>
      </c>
      <c r="H32" s="4" t="s">
        <v>850</v>
      </c>
      <c r="I32" s="4" t="s">
        <v>840</v>
      </c>
      <c r="J32" s="60" cm="1">
        <f t="array" ref="J32">_xlfn.IFS(I32 = "Catastrophic", 90%, I32 = "Major", 70%, I32 = "Moderate", 50%, I32 = "Minor", 30%, I32 = "Negligible", 5%)</f>
        <v>0.7</v>
      </c>
      <c r="K32" s="123">
        <f t="shared" si="0"/>
        <v>62999.999999999993</v>
      </c>
      <c r="L32" s="25" cm="1">
        <f t="array" ref="L32">_xlfn.IFS(H32 = "Almost Certain", 0.8, H32 = "Likely", 0.75, H32 = "Possible", 0.5, H32 = "Unlikely", 0.25, H32= "Rare", 0.1)</f>
        <v>0.75</v>
      </c>
      <c r="M32" s="93">
        <f t="shared" si="1"/>
        <v>47249.999999999993</v>
      </c>
      <c r="N32" s="93">
        <f t="shared" si="2"/>
        <v>47249.999999999993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 spans="1:14" ht="16" x14ac:dyDescent="0.2">
      <c r="E33" s="25" t="s">
        <v>950</v>
      </c>
      <c r="F33" s="35" t="s">
        <v>1505</v>
      </c>
      <c r="G33" s="277">
        <v>15</v>
      </c>
      <c r="H33" s="4" t="s">
        <v>858</v>
      </c>
      <c r="I33" s="4" t="s">
        <v>859</v>
      </c>
      <c r="J33" s="60" cm="1">
        <f t="array" ref="J33">_xlfn.IFS(I33 = "Catastrophic", 90%, I33 = "Major", 70%, I33 = "Moderate", 50%, I33 = "Minor", 30%, I33 = "Negligible", 5%)</f>
        <v>0.5</v>
      </c>
      <c r="K33" s="123">
        <f t="shared" ref="K33" si="21">D32*J33</f>
        <v>45000</v>
      </c>
      <c r="L33" s="25" cm="1">
        <f t="array" ref="L33">_xlfn.IFS(H33 = "Almost Certain", 0.8, H33 = "Likely", 0.75, H33 = "Possible", 0.5, H33 = "Unlikely", 0.25, H33= "Rare", 0.1)</f>
        <v>0.8</v>
      </c>
      <c r="M33" s="93">
        <f t="shared" si="1"/>
        <v>36000</v>
      </c>
      <c r="N33" s="93">
        <f t="shared" si="2"/>
        <v>36000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 spans="1:14" ht="16" x14ac:dyDescent="0.2">
      <c r="E34" s="25" t="s">
        <v>935</v>
      </c>
      <c r="F34" s="35" t="s">
        <v>1505</v>
      </c>
      <c r="G34" s="277">
        <v>20</v>
      </c>
      <c r="H34" s="4" t="s">
        <v>858</v>
      </c>
      <c r="I34" s="4" t="s">
        <v>840</v>
      </c>
      <c r="J34" s="60" cm="1">
        <f t="array" ref="J34">_xlfn.IFS(I34 = "Catastrophic", 90%, I34 = "Major", 70%, I34 = "Moderate", 50%, I34 = "Minor", 30%, I34 = "Negligible", 5%)</f>
        <v>0.7</v>
      </c>
      <c r="K34" s="123">
        <f t="shared" ref="K34" si="22">D32*J34</f>
        <v>62999.999999999993</v>
      </c>
      <c r="L34" s="25" cm="1">
        <f t="array" ref="L34">_xlfn.IFS(H34 = "Almost Certain", 0.8, H34 = "Likely", 0.75, H34 = "Possible", 0.5, H34 = "Unlikely", 0.25, H34= "Rare", 0.1)</f>
        <v>0.8</v>
      </c>
      <c r="M34" s="93">
        <f t="shared" si="1"/>
        <v>50400</v>
      </c>
      <c r="N34" s="93">
        <f t="shared" si="2"/>
        <v>50400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 spans="1:14" ht="16" x14ac:dyDescent="0.2">
      <c r="B35" s="617" t="s">
        <v>99</v>
      </c>
      <c r="C35" s="675" t="s">
        <v>956</v>
      </c>
      <c r="D35" s="655">
        <v>100000</v>
      </c>
      <c r="E35" s="25" t="s">
        <v>845</v>
      </c>
      <c r="F35" s="35" t="s">
        <v>859</v>
      </c>
      <c r="G35" s="277">
        <v>20</v>
      </c>
      <c r="H35" s="4" t="s">
        <v>850</v>
      </c>
      <c r="I35" s="4" t="s">
        <v>840</v>
      </c>
      <c r="J35" s="60" cm="1">
        <f t="array" ref="J35">_xlfn.IFS(I35 = "Catastrophic", 90%, I35 = "Major", 70%, I35 = "Moderate", 50%, I35 = "Minor", 30%, I35 = "Negligible", 5%)</f>
        <v>0.7</v>
      </c>
      <c r="K35" s="123">
        <f t="shared" si="0"/>
        <v>70000</v>
      </c>
      <c r="L35" s="25" cm="1">
        <f t="array" ref="L35">_xlfn.IFS(H35 = "Almost Certain", 0.8, H35 = "Likely", 0.75, H35 = "Possible", 0.5, H35 = "Unlikely", 0.25, H35= "Rare", 0.1)</f>
        <v>0.75</v>
      </c>
      <c r="M35" s="93">
        <f t="shared" si="1"/>
        <v>52500</v>
      </c>
      <c r="N35" s="93">
        <f t="shared" si="2"/>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 spans="1:14" ht="16" x14ac:dyDescent="0.2">
      <c r="E36" s="25" t="s">
        <v>960</v>
      </c>
      <c r="F36" s="35" t="s">
        <v>1505</v>
      </c>
      <c r="G36" s="277">
        <v>15</v>
      </c>
      <c r="H36" s="4" t="s">
        <v>850</v>
      </c>
      <c r="I36" s="4" t="s">
        <v>839</v>
      </c>
      <c r="J36" s="60" cm="1">
        <f t="array" ref="J36">_xlfn.IFS(I36 = "Catastrophic", 90%, I36 = "Major", 70%, I36 = "Moderate", 50%, I36 = "Minor", 30%, I36 = "Negligible", 5%)</f>
        <v>0.9</v>
      </c>
      <c r="K36" s="123">
        <f t="shared" ref="K36" si="23">D35*J36</f>
        <v>90000</v>
      </c>
      <c r="L36" s="25" cm="1">
        <f t="array" ref="L36">_xlfn.IFS(H36 = "Almost Certain", 0.8, H36 = "Likely", 0.75, H36 = "Possible", 0.5, H36 = "Unlikely", 0.25, H36= "Rare", 0.1)</f>
        <v>0.75</v>
      </c>
      <c r="M36" s="93">
        <f t="shared" si="1"/>
        <v>67500</v>
      </c>
      <c r="N36" s="93">
        <f t="shared" si="2"/>
        <v>67500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 spans="1:14" ht="16" x14ac:dyDescent="0.2">
      <c r="E37" s="25" t="s">
        <v>908</v>
      </c>
      <c r="F37" s="35" t="s">
        <v>1505</v>
      </c>
      <c r="G37" s="277">
        <v>20</v>
      </c>
      <c r="H37" s="4" t="s">
        <v>858</v>
      </c>
      <c r="I37" s="13" t="s">
        <v>839</v>
      </c>
      <c r="J37" s="60" cm="1">
        <f t="array" ref="J37">_xlfn.IFS(I37 = "Catastrophic", 90%, I37 = "Major", 70%, I37 = "Moderate", 50%, I37 = "Minor", 30%, I37 = "Negligible", 5%)</f>
        <v>0.9</v>
      </c>
      <c r="K37" s="123">
        <f t="shared" ref="K37" si="24">D35*J37</f>
        <v>90000</v>
      </c>
      <c r="L37" s="25" cm="1">
        <f t="array" ref="L37">_xlfn.IFS(H37 = "Almost Certain", 0.8, H37 = "Likely", 0.75, H37 = "Possible", 0.5, H37 = "Unlikely", 0.25, H37= "Rare", 0.1)</f>
        <v>0.8</v>
      </c>
      <c r="M37" s="93">
        <f t="shared" si="1"/>
        <v>72000</v>
      </c>
      <c r="N37" s="93">
        <f t="shared" si="2"/>
        <v>72000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 spans="1:14" ht="16" x14ac:dyDescent="0.2">
      <c r="B38" s="617" t="s">
        <v>108</v>
      </c>
      <c r="C38" s="675" t="s">
        <v>109</v>
      </c>
      <c r="D38" s="655">
        <v>150000</v>
      </c>
      <c r="E38" s="25" t="s">
        <v>916</v>
      </c>
      <c r="F38" s="35" t="s">
        <v>1505</v>
      </c>
      <c r="G38" s="277">
        <v>15</v>
      </c>
      <c r="H38" s="4" t="s">
        <v>850</v>
      </c>
      <c r="I38" s="4" t="s">
        <v>840</v>
      </c>
      <c r="J38" s="60" cm="1">
        <f t="array" ref="J38">_xlfn.IFS(I38 = "Catastrophic", 90%, I38 = "Major", 70%, I38 = "Moderate", 50%, I38 = "Minor", 30%, I38 = "Negligible", 5%)</f>
        <v>0.7</v>
      </c>
      <c r="K38" s="123">
        <f t="shared" si="0"/>
        <v>105000</v>
      </c>
      <c r="L38" s="25" cm="1">
        <f t="array" ref="L38">_xlfn.IFS(H38 = "Almost Certain", 0.8, H38 = "Likely", 0.75, H38 = "Possible", 0.5, H38 = "Unlikely", 0.25, H38= "Rare", 0.1)</f>
        <v>0.75</v>
      </c>
      <c r="M38" s="93">
        <f t="shared" si="1"/>
        <v>78750</v>
      </c>
      <c r="N38" s="93">
        <f t="shared" si="2"/>
        <v>78750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9" spans="1:14" ht="16" x14ac:dyDescent="0.2">
      <c r="E39" s="25" t="s">
        <v>935</v>
      </c>
      <c r="F39" s="35" t="s">
        <v>859</v>
      </c>
      <c r="G39" s="277">
        <v>20</v>
      </c>
      <c r="H39" s="4" t="s">
        <v>858</v>
      </c>
      <c r="I39" s="4" t="s">
        <v>840</v>
      </c>
      <c r="J39" s="60" cm="1">
        <f t="array" ref="J39">_xlfn.IFS(I39 = "Catastrophic", 90%, I39 = "Major", 70%, I39 = "Moderate", 50%, I39 = "Minor", 30%, I39 = "Negligible", 5%)</f>
        <v>0.7</v>
      </c>
      <c r="K39" s="123">
        <f t="shared" ref="K39" si="25">D38*J39</f>
        <v>105000</v>
      </c>
      <c r="L39" s="25" cm="1">
        <f t="array" ref="L39">_xlfn.IFS(H39 = "Almost Certain", 0.8, H39 = "Likely", 0.75, H39 = "Possible", 0.5, H39 = "Unlikely", 0.25, H39= "Rare", 0.1)</f>
        <v>0.8</v>
      </c>
      <c r="M39" s="93">
        <f t="shared" si="1"/>
        <v>84000</v>
      </c>
      <c r="N39" s="93">
        <f t="shared" si="2"/>
        <v>84000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0" spans="1:14" ht="16" x14ac:dyDescent="0.2">
      <c r="E40" s="25" t="s">
        <v>884</v>
      </c>
      <c r="F40" s="35" t="s">
        <v>859</v>
      </c>
      <c r="G40" s="277">
        <v>5</v>
      </c>
      <c r="H40" s="4" t="s">
        <v>850</v>
      </c>
      <c r="I40" s="4" t="s">
        <v>840</v>
      </c>
      <c r="J40" s="60" cm="1">
        <f t="array" ref="J40">_xlfn.IFS(I40 = "Catastrophic", 90%, I40 = "Major", 70%, I40 = "Moderate", 50%, I40 = "Minor", 30%, I40 = "Negligible", 5%)</f>
        <v>0.7</v>
      </c>
      <c r="K40" s="123">
        <f t="shared" ref="K40" si="26">D38*J40</f>
        <v>105000</v>
      </c>
      <c r="L40" s="25" cm="1">
        <f t="array" ref="L40">_xlfn.IFS(H40 = "Almost Certain", 0.8, H40 = "Likely", 0.75, H40 = "Possible", 0.5, H40 = "Unlikely", 0.25, H40= "Rare", 0.1)</f>
        <v>0.75</v>
      </c>
      <c r="M40" s="93">
        <f t="shared" si="1"/>
        <v>78750</v>
      </c>
      <c r="N40" s="93">
        <f t="shared" si="2"/>
        <v>78750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1" spans="1:14" ht="16" x14ac:dyDescent="0.2">
      <c r="B41" s="617" t="s">
        <v>115</v>
      </c>
      <c r="C41" s="675" t="s">
        <v>116</v>
      </c>
      <c r="D41" s="655">
        <v>150000</v>
      </c>
      <c r="E41" s="25" t="s">
        <v>975</v>
      </c>
      <c r="F41" s="35" t="s">
        <v>859</v>
      </c>
      <c r="G41" s="277">
        <v>20</v>
      </c>
      <c r="H41" s="4" t="s">
        <v>858</v>
      </c>
      <c r="I41" s="4" t="s">
        <v>840</v>
      </c>
      <c r="J41" s="60" cm="1">
        <f t="array" ref="J41">_xlfn.IFS(I41 = "Catastrophic", 90%, I41 = "Major", 70%, I41 = "Moderate", 50%, I41 = "Minor", 30%, I41 = "Negligible", 5%)</f>
        <v>0.7</v>
      </c>
      <c r="K41" s="123">
        <f t="shared" si="0"/>
        <v>105000</v>
      </c>
      <c r="L41" s="25" cm="1">
        <f t="array" ref="L41">_xlfn.IFS(H41 = "Almost Certain", 0.8, H41 = "Likely", 0.75, H41 = "Possible", 0.5, H41 = "Unlikely", 0.25, H41= "Rare", 0.1)</f>
        <v>0.8</v>
      </c>
      <c r="M41" s="93">
        <f t="shared" si="1"/>
        <v>84000</v>
      </c>
      <c r="N41" s="93">
        <f t="shared" si="2"/>
        <v>84000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2" spans="1:14" ht="16" x14ac:dyDescent="0.2">
      <c r="E42" s="25" t="s">
        <v>908</v>
      </c>
      <c r="F42" s="35" t="s">
        <v>859</v>
      </c>
      <c r="G42" s="277">
        <v>20</v>
      </c>
      <c r="H42" s="4" t="s">
        <v>850</v>
      </c>
      <c r="I42" s="4" t="s">
        <v>840</v>
      </c>
      <c r="J42" s="60" cm="1">
        <f t="array" ref="J42">_xlfn.IFS(I42 = "Catastrophic", 90%, I42 = "Major", 70%, I42 = "Moderate", 50%, I42 = "Minor", 30%, I42 = "Negligible", 5%)</f>
        <v>0.7</v>
      </c>
      <c r="K42" s="123">
        <f t="shared" ref="K42" si="27">D41*J42</f>
        <v>105000</v>
      </c>
      <c r="L42" s="25" cm="1">
        <f t="array" ref="L42">_xlfn.IFS(H42 = "Almost Certain", 0.8, H42 = "Likely", 0.75, H42 = "Possible", 0.5, H42 = "Unlikely", 0.25, H42= "Rare", 0.1)</f>
        <v>0.75</v>
      </c>
      <c r="M42" s="93">
        <f t="shared" si="1"/>
        <v>78750</v>
      </c>
      <c r="N42" s="93">
        <f t="shared" si="2"/>
        <v>78750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3" spans="1:14" ht="16" x14ac:dyDescent="0.2">
      <c r="E43" s="25" t="s">
        <v>981</v>
      </c>
      <c r="F43" s="35" t="s">
        <v>1505</v>
      </c>
      <c r="G43" s="277">
        <v>15</v>
      </c>
      <c r="H43" s="4" t="s">
        <v>850</v>
      </c>
      <c r="I43" s="4" t="s">
        <v>839</v>
      </c>
      <c r="J43" s="60" cm="1">
        <f t="array" ref="J43">_xlfn.IFS(I43 = "Catastrophic", 90%, I43 = "Major", 70%, I43 = "Moderate", 50%, I43 = "Minor", 30%, I43 = "Negligible", 5%)</f>
        <v>0.9</v>
      </c>
      <c r="K43" s="123">
        <f t="shared" ref="K43" si="28">D41*J43</f>
        <v>135000</v>
      </c>
      <c r="L43" s="25" cm="1">
        <f t="array" ref="L43">_xlfn.IFS(H43 = "Almost Certain", 0.8, H43 = "Likely", 0.75, H43 = "Possible", 0.5, H43 = "Unlikely", 0.25, H43= "Rare", 0.1)</f>
        <v>0.75</v>
      </c>
      <c r="M43" s="93">
        <f t="shared" si="1"/>
        <v>101250</v>
      </c>
      <c r="N43" s="93">
        <f t="shared" si="2"/>
        <v>101250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4" spans="1:14" ht="16" x14ac:dyDescent="0.2">
      <c r="B44" s="617" t="s">
        <v>122</v>
      </c>
      <c r="C44" s="675" t="s">
        <v>123</v>
      </c>
      <c r="D44" s="655">
        <v>100000</v>
      </c>
      <c r="E44" s="25" t="s">
        <v>932</v>
      </c>
      <c r="F44" s="35" t="s">
        <v>1507</v>
      </c>
      <c r="G44" s="277">
        <v>10</v>
      </c>
      <c r="H44" s="4" t="s">
        <v>850</v>
      </c>
      <c r="I44" s="4" t="s">
        <v>840</v>
      </c>
      <c r="J44" s="60" cm="1">
        <f t="array" ref="J44">_xlfn.IFS(I44 = "Catastrophic", 90%, I44 = "Major", 70%, I44 = "Moderate", 50%, I44 = "Minor", 30%, I44 = "Negligible", 5%)</f>
        <v>0.7</v>
      </c>
      <c r="K44" s="123">
        <f t="shared" si="0"/>
        <v>70000</v>
      </c>
      <c r="L44" s="25" cm="1">
        <f t="array" ref="L44">_xlfn.IFS(H44 = "Almost Certain", 0.8, H44 = "Likely", 0.75, H44 = "Possible", 0.5, H44 = "Unlikely", 0.25, H44= "Rare", 0.1)</f>
        <v>0.75</v>
      </c>
      <c r="M44" s="93">
        <f t="shared" si="1"/>
        <v>52500</v>
      </c>
      <c r="N44" s="93">
        <f t="shared" si="2"/>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5" spans="1:14" ht="16" x14ac:dyDescent="0.2">
      <c r="E45" s="25" t="s">
        <v>987</v>
      </c>
      <c r="F45" s="35" t="s">
        <v>1505</v>
      </c>
      <c r="G45" s="277">
        <v>15</v>
      </c>
      <c r="H45" s="4" t="s">
        <v>850</v>
      </c>
      <c r="I45" s="4" t="s">
        <v>840</v>
      </c>
      <c r="J45" s="60" cm="1">
        <f t="array" ref="J45">_xlfn.IFS(I45 = "Catastrophic", 90%, I45 = "Major", 70%, I45 = "Moderate", 50%, I45 = "Minor", 30%, I45 = "Negligible", 5%)</f>
        <v>0.7</v>
      </c>
      <c r="K45" s="123">
        <f t="shared" ref="K45" si="29">D44*J45</f>
        <v>70000</v>
      </c>
      <c r="L45" s="25" cm="1">
        <f t="array" ref="L45">_xlfn.IFS(H45 = "Almost Certain", 0.8, H45 = "Likely", 0.75, H45 = "Possible", 0.5, H45 = "Unlikely", 0.25, H45= "Rare", 0.1)</f>
        <v>0.75</v>
      </c>
      <c r="M45" s="93">
        <f t="shared" si="1"/>
        <v>52500</v>
      </c>
      <c r="N45" s="93">
        <f t="shared" si="2"/>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6" spans="1:14" ht="16" x14ac:dyDescent="0.2">
      <c r="E46" s="25" t="s">
        <v>989</v>
      </c>
      <c r="F46" s="117" t="s">
        <v>1507</v>
      </c>
      <c r="G46" s="277">
        <v>10</v>
      </c>
      <c r="H46" s="4" t="s">
        <v>850</v>
      </c>
      <c r="I46" s="4" t="s">
        <v>993</v>
      </c>
      <c r="J46" s="60" cm="1">
        <f t="array" ref="J46">_xlfn.IFS(I46 = "Catastrophic", 90%, I46 = "Major", 70%, I46 = "Moderate", 50%, I46 = "Minor", 30%, I46 = "Negligible", 5%)</f>
        <v>0.3</v>
      </c>
      <c r="K46" s="123">
        <f t="shared" ref="K46" si="30">D44*J46</f>
        <v>30000</v>
      </c>
      <c r="L46" s="25" cm="1">
        <f t="array" ref="L46">_xlfn.IFS(H46 = "Almost Certain", 0.8, H46 = "Likely", 0.75, H46 = "Possible", 0.5, H46 = "Unlikely", 0.25, H46= "Rare", 0.1)</f>
        <v>0.75</v>
      </c>
      <c r="M46" s="93">
        <f t="shared" si="1"/>
        <v>22500</v>
      </c>
      <c r="N46" s="93">
        <f t="shared" si="2"/>
        <v>22500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8" spans="1:14" ht="16" x14ac:dyDescent="0.2">
      <c r="A48" s="673" t="s">
        <v>129</v>
      </c>
      <c r="B48" s="35" t="s">
        <v>132</v>
      </c>
      <c r="C48" s="15" t="s">
        <v>133</v>
      </c>
      <c r="D48" s="655">
        <v>200000</v>
      </c>
      <c r="E48" s="56" t="s">
        <v>937</v>
      </c>
      <c r="F48" s="35" t="s">
        <v>1505</v>
      </c>
      <c r="G48" s="277">
        <v>30</v>
      </c>
      <c r="H48" s="4" t="s">
        <v>850</v>
      </c>
      <c r="I48" s="4" t="s">
        <v>840</v>
      </c>
      <c r="J48" s="60" cm="1">
        <f t="array" ref="J48">_xlfn.IFS(I48 = "Catastrophic", 90%, I48 = "Major", 70%, I48 = "Moderate", 50%, I48 = "Minor", 30%, I48 = "Negligible", 5%)</f>
        <v>0.7</v>
      </c>
      <c r="K48" s="123">
        <f t="shared" si="0"/>
        <v>140000</v>
      </c>
      <c r="L48" s="25" cm="1">
        <f t="array" ref="L48">_xlfn.IFS(H48 = "Almost Certain", 0.8, H48 = "Likely", 0.75, H48 = "Possible", 0.5, H48 = "Unlikely", 0.25, H48= "Rare", 0.1)</f>
        <v>0.75</v>
      </c>
      <c r="M48" s="93">
        <f t="shared" si="1"/>
        <v>105000</v>
      </c>
      <c r="N48" s="93">
        <f t="shared" si="2"/>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9" spans="1:14" ht="16" x14ac:dyDescent="0.2">
      <c r="E49" s="56" t="s">
        <v>851</v>
      </c>
      <c r="F49" s="35" t="s">
        <v>859</v>
      </c>
      <c r="G49" s="277">
        <v>20</v>
      </c>
      <c r="H49" s="4" t="s">
        <v>838</v>
      </c>
      <c r="I49" s="4" t="s">
        <v>840</v>
      </c>
      <c r="J49" s="60" cm="1">
        <f t="array" ref="J49">_xlfn.IFS(I49 = "Catastrophic", 90%, I49 = "Major", 70%, I49 = "Moderate", 50%, I49 = "Minor", 30%, I49 = "Negligible", 5%)</f>
        <v>0.7</v>
      </c>
      <c r="K49" s="123">
        <f>D48*J49</f>
        <v>140000</v>
      </c>
      <c r="L49" s="25" cm="1">
        <f t="array" ref="L49">_xlfn.IFS(H49 = "Almost Certain", 0.8, H49 = "Likely", 0.75, H49 = "Possible", 0.5, H49 = "Unlikely", 0.25, H49= "Rare", 0.1)</f>
        <v>0.5</v>
      </c>
      <c r="M49" s="93">
        <f t="shared" si="1"/>
        <v>70000</v>
      </c>
      <c r="N49" s="93">
        <f t="shared" si="2"/>
        <v>70000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0" spans="1:14" ht="16" x14ac:dyDescent="0.2">
      <c r="E50" s="56" t="s">
        <v>1001</v>
      </c>
      <c r="F50" s="35" t="s">
        <v>1505</v>
      </c>
      <c r="G50" s="277">
        <v>20</v>
      </c>
      <c r="H50" s="4" t="s">
        <v>850</v>
      </c>
      <c r="I50" s="4" t="s">
        <v>840</v>
      </c>
      <c r="J50" s="60" cm="1">
        <f t="array" ref="J50">_xlfn.IFS(I50 = "Catastrophic", 90%, I50 = "Major", 70%, I50 = "Moderate", 50%, I50 = "Minor", 30%, I50 = "Negligible", 5%)</f>
        <v>0.7</v>
      </c>
      <c r="K50" s="123">
        <f>D48*J50</f>
        <v>140000</v>
      </c>
      <c r="L50" s="25" cm="1">
        <f t="array" ref="L50">_xlfn.IFS(H50 = "Almost Certain", 0.8, H50 = "Likely", 0.75, H50 = "Possible", 0.5, H50 = "Unlikely", 0.25, H50= "Rare", 0.1)</f>
        <v>0.75</v>
      </c>
      <c r="M50" s="93">
        <f t="shared" si="1"/>
        <v>105000</v>
      </c>
      <c r="N50" s="93">
        <f t="shared" si="2"/>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1" spans="1:14" ht="16" x14ac:dyDescent="0.2">
      <c r="B51" s="35" t="s">
        <v>140</v>
      </c>
      <c r="C51" s="15" t="s">
        <v>141</v>
      </c>
      <c r="D51" s="655">
        <v>100000</v>
      </c>
      <c r="E51" s="56" t="s">
        <v>1005</v>
      </c>
      <c r="F51" s="35" t="s">
        <v>859</v>
      </c>
      <c r="G51" s="277">
        <v>5</v>
      </c>
      <c r="H51" s="4" t="s">
        <v>838</v>
      </c>
      <c r="I51" s="4" t="s">
        <v>859</v>
      </c>
      <c r="J51" s="60" cm="1">
        <f t="array" ref="J51">_xlfn.IFS(I51 = "Catastrophic", 90%, I51 = "Major", 70%, I51 = "Moderate", 50%, I51 = "Minor", 30%, I51 = "Negligible", 5%)</f>
        <v>0.5</v>
      </c>
      <c r="K51" s="123">
        <f t="shared" si="0"/>
        <v>50000</v>
      </c>
      <c r="L51" s="25" cm="1">
        <f t="array" ref="L51">_xlfn.IFS(H51 = "Almost Certain", 0.8, H51 = "Likely", 0.75, H51 = "Possible", 0.5, H51 = "Unlikely", 0.25, H51= "Rare", 0.1)</f>
        <v>0.5</v>
      </c>
      <c r="M51" s="93">
        <f t="shared" si="1"/>
        <v>25000</v>
      </c>
      <c r="N51" s="93">
        <f t="shared" si="2"/>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2" spans="1:14" ht="16" x14ac:dyDescent="0.2">
      <c r="E52" s="56" t="s">
        <v>1009</v>
      </c>
      <c r="F52" s="35" t="s">
        <v>1507</v>
      </c>
      <c r="G52" s="277">
        <v>10</v>
      </c>
      <c r="H52" s="4" t="s">
        <v>838</v>
      </c>
      <c r="I52" s="4" t="s">
        <v>859</v>
      </c>
      <c r="J52" s="60" cm="1">
        <f t="array" ref="J52">_xlfn.IFS(I52 = "Catastrophic", 90%, I52 = "Major", 70%, I52 = "Moderate", 50%, I52 = "Minor", 30%, I52 = "Negligible", 5%)</f>
        <v>0.5</v>
      </c>
      <c r="K52" s="123">
        <f t="shared" ref="K52" si="31">D51*J52</f>
        <v>50000</v>
      </c>
      <c r="L52" s="25" cm="1">
        <f t="array" ref="L52">_xlfn.IFS(H52 = "Almost Certain", 0.8, H52 = "Likely", 0.75, H52 = "Possible", 0.5, H52 = "Unlikely", 0.25, H52= "Rare", 0.1)</f>
        <v>0.5</v>
      </c>
      <c r="M52" s="93">
        <f t="shared" si="1"/>
        <v>25000</v>
      </c>
      <c r="N52" s="93">
        <f t="shared" si="2"/>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3" spans="1:14" ht="16" x14ac:dyDescent="0.2">
      <c r="E53" s="56" t="s">
        <v>1014</v>
      </c>
      <c r="F53" s="35" t="s">
        <v>859</v>
      </c>
      <c r="G53" s="277">
        <v>10</v>
      </c>
      <c r="H53" s="4" t="s">
        <v>838</v>
      </c>
      <c r="I53" s="4" t="s">
        <v>840</v>
      </c>
      <c r="J53" s="60" cm="1">
        <f t="array" ref="J53">_xlfn.IFS(I53 = "Catastrophic", 90%, I53 = "Major", 70%, I53 = "Moderate", 50%, I53 = "Minor", 30%, I53 = "Negligible", 5%)</f>
        <v>0.7</v>
      </c>
      <c r="K53" s="123">
        <f t="shared" ref="K53" si="32">D51*J53</f>
        <v>70000</v>
      </c>
      <c r="L53" s="25" cm="1">
        <f t="array" ref="L53">_xlfn.IFS(H53 = "Almost Certain", 0.8, H53 = "Likely", 0.75, H53 = "Possible", 0.5, H53 = "Unlikely", 0.25, H53= "Rare", 0.1)</f>
        <v>0.5</v>
      </c>
      <c r="M53" s="93">
        <f t="shared" si="1"/>
        <v>35000</v>
      </c>
      <c r="N53" s="93">
        <f t="shared" si="2"/>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4" spans="1:14" ht="16" x14ac:dyDescent="0.2">
      <c r="B54" s="35" t="s">
        <v>150</v>
      </c>
      <c r="C54" s="15" t="s">
        <v>151</v>
      </c>
      <c r="D54" s="655">
        <v>200000</v>
      </c>
      <c r="E54" s="56" t="s">
        <v>1508</v>
      </c>
      <c r="F54" s="35" t="s">
        <v>1505</v>
      </c>
      <c r="G54" s="277">
        <v>15</v>
      </c>
      <c r="H54" s="4" t="s">
        <v>850</v>
      </c>
      <c r="I54" s="4" t="s">
        <v>839</v>
      </c>
      <c r="J54" s="60" cm="1">
        <f t="array" ref="J54">_xlfn.IFS(I54 = "Catastrophic", 90%, I54 = "Major", 70%, I54 = "Moderate", 50%, I54 = "Minor", 30%, I54 = "Negligible", 5%)</f>
        <v>0.9</v>
      </c>
      <c r="K54" s="123">
        <f t="shared" si="0"/>
        <v>180000</v>
      </c>
      <c r="L54" s="25" cm="1">
        <f t="array" ref="L54">_xlfn.IFS(H54 = "Almost Certain", 0.8, H54 = "Likely", 0.75, H54 = "Possible", 0.5, H54 = "Unlikely", 0.25, H54= "Rare", 0.1)</f>
        <v>0.75</v>
      </c>
      <c r="M54" s="93">
        <f t="shared" si="1"/>
        <v>135000</v>
      </c>
      <c r="N54" s="93">
        <f t="shared" si="2"/>
        <v>135000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5" spans="1:14" ht="16" x14ac:dyDescent="0.2">
      <c r="E55" s="56" t="s">
        <v>1021</v>
      </c>
      <c r="F55" s="35" t="s">
        <v>859</v>
      </c>
      <c r="G55" s="277">
        <v>21</v>
      </c>
      <c r="H55" s="4" t="s">
        <v>1025</v>
      </c>
      <c r="I55" s="4" t="s">
        <v>840</v>
      </c>
      <c r="J55" s="60" cm="1">
        <f t="array" ref="J55">_xlfn.IFS(I55 = "Catastrophic", 90%, I55 = "Major", 70%, I55 = "Moderate", 50%, I55 = "Minor", 30%, I55 = "Negligible", 5%)</f>
        <v>0.7</v>
      </c>
      <c r="K55" s="123">
        <f t="shared" ref="K55" si="33">D54*J55</f>
        <v>140000</v>
      </c>
      <c r="L55" s="25" cm="1">
        <f t="array" ref="L55">_xlfn.IFS(H55 = "Almost Certain", 0.8, H55 = "Likely", 0.75, H55 = "Possible", 0.5, H55 = "Unlikely", 0.25, H55= "Rare", 0.1)</f>
        <v>0.25</v>
      </c>
      <c r="M55" s="93">
        <f t="shared" si="1"/>
        <v>35000</v>
      </c>
      <c r="N55" s="93">
        <f t="shared" si="2"/>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6" spans="1:14" ht="16" x14ac:dyDescent="0.2">
      <c r="E56" s="56" t="s">
        <v>1026</v>
      </c>
      <c r="F56" s="35" t="s">
        <v>1507</v>
      </c>
      <c r="G56" s="277">
        <v>15</v>
      </c>
      <c r="H56" s="4" t="s">
        <v>838</v>
      </c>
      <c r="I56" s="4" t="s">
        <v>840</v>
      </c>
      <c r="J56" s="60" cm="1">
        <f t="array" ref="J56">_xlfn.IFS(I56 = "Catastrophic", 90%, I56 = "Major", 70%, I56 = "Moderate", 50%, I56 = "Minor", 30%, I56 = "Negligible", 5%)</f>
        <v>0.7</v>
      </c>
      <c r="K56" s="123">
        <f t="shared" ref="K56" si="34">D54*J56</f>
        <v>140000</v>
      </c>
      <c r="L56" s="25" cm="1">
        <f t="array" ref="L56">_xlfn.IFS(H56 = "Almost Certain", 0.8, H56 = "Likely", 0.75, H56 = "Possible", 0.5, H56 = "Unlikely", 0.25, H56= "Rare", 0.1)</f>
        <v>0.5</v>
      </c>
      <c r="M56" s="93">
        <f t="shared" si="1"/>
        <v>70000</v>
      </c>
      <c r="N56" s="93">
        <f t="shared" si="2"/>
        <v>70000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7" spans="1:14" ht="16" x14ac:dyDescent="0.2">
      <c r="B57" s="35" t="s">
        <v>158</v>
      </c>
      <c r="C57" s="15" t="s">
        <v>159</v>
      </c>
      <c r="D57" s="655">
        <v>150000</v>
      </c>
      <c r="E57" s="56" t="s">
        <v>1030</v>
      </c>
      <c r="F57" s="35" t="s">
        <v>859</v>
      </c>
      <c r="G57" s="277">
        <v>28</v>
      </c>
      <c r="H57" s="4" t="s">
        <v>1025</v>
      </c>
      <c r="I57" s="4" t="s">
        <v>840</v>
      </c>
      <c r="J57" s="60" cm="1">
        <f t="array" ref="J57">_xlfn.IFS(I57 = "Catastrophic", 90%, I57 = "Major", 70%, I57 = "Moderate", 50%, I57 = "Minor", 30%, I57 = "Negligible", 5%)</f>
        <v>0.7</v>
      </c>
      <c r="K57" s="123">
        <f t="shared" si="0"/>
        <v>105000</v>
      </c>
      <c r="L57" s="25" cm="1">
        <f t="array" ref="L57">_xlfn.IFS(H57 = "Almost Certain", 0.8, H57 = "Likely", 0.75, H57 = "Possible", 0.5, H57 = "Unlikely", 0.25, H57= "Rare", 0.1)</f>
        <v>0.25</v>
      </c>
      <c r="M57" s="93">
        <f t="shared" si="1"/>
        <v>26250</v>
      </c>
      <c r="N57" s="93">
        <f t="shared" si="2"/>
        <v>26250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8" spans="1:14" ht="16" x14ac:dyDescent="0.2">
      <c r="E58" s="56" t="s">
        <v>937</v>
      </c>
      <c r="F58" s="35" t="s">
        <v>1505</v>
      </c>
      <c r="G58" s="277">
        <v>30</v>
      </c>
      <c r="H58" s="4" t="s">
        <v>850</v>
      </c>
      <c r="I58" s="4" t="s">
        <v>840</v>
      </c>
      <c r="J58" s="60" cm="1">
        <f t="array" ref="J58">_xlfn.IFS(I58 = "Catastrophic", 90%, I58 = "Major", 70%, I58 = "Moderate", 50%, I58 = "Minor", 30%, I58 = "Negligible", 5%)</f>
        <v>0.7</v>
      </c>
      <c r="K58" s="123">
        <f t="shared" ref="K58" si="35">D57*J58</f>
        <v>105000</v>
      </c>
      <c r="L58" s="25" cm="1">
        <f t="array" ref="L58">_xlfn.IFS(H58 = "Almost Certain", 0.8, H58 = "Likely", 0.75, H58 = "Possible", 0.5, H58 = "Unlikely", 0.25, H58= "Rare", 0.1)</f>
        <v>0.75</v>
      </c>
      <c r="M58" s="93">
        <f t="shared" si="1"/>
        <v>78750</v>
      </c>
      <c r="N58" s="93">
        <f t="shared" si="2"/>
        <v>78750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9" spans="1:14" ht="16" x14ac:dyDescent="0.2">
      <c r="E59" s="56" t="s">
        <v>1037</v>
      </c>
      <c r="F59" s="35" t="s">
        <v>1507</v>
      </c>
      <c r="G59" s="277">
        <v>15</v>
      </c>
      <c r="H59" s="4" t="s">
        <v>838</v>
      </c>
      <c r="I59" s="4" t="s">
        <v>859</v>
      </c>
      <c r="J59" s="60" cm="1">
        <f t="array" ref="J59">_xlfn.IFS(I59 = "Catastrophic", 90%, I59 = "Major", 70%, I59 = "Moderate", 50%, I59 = "Minor", 30%, I59 = "Negligible", 5%)</f>
        <v>0.5</v>
      </c>
      <c r="K59" s="123">
        <f t="shared" ref="K59" si="36">D57*J59</f>
        <v>75000</v>
      </c>
      <c r="L59" s="25" cm="1">
        <f t="array" ref="L59">_xlfn.IFS(H59 = "Almost Certain", 0.8, H59 = "Likely", 0.75, H59 = "Possible", 0.5, H59 = "Unlikely", 0.25, H59= "Rare", 0.1)</f>
        <v>0.5</v>
      </c>
      <c r="M59" s="93">
        <f t="shared" si="1"/>
        <v>37500</v>
      </c>
      <c r="N59" s="93">
        <f t="shared" si="2"/>
        <v>37500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0" spans="1:14" ht="32" x14ac:dyDescent="0.2">
      <c r="B60" s="35" t="s">
        <v>168</v>
      </c>
      <c r="C60" s="15" t="s">
        <v>169</v>
      </c>
      <c r="D60" s="655">
        <v>150000</v>
      </c>
      <c r="E60" s="56" t="s">
        <v>1014</v>
      </c>
      <c r="F60" s="35" t="s">
        <v>859</v>
      </c>
      <c r="G60" s="277">
        <v>10</v>
      </c>
      <c r="H60" s="4" t="s">
        <v>838</v>
      </c>
      <c r="I60" s="4" t="s">
        <v>840</v>
      </c>
      <c r="J60" s="60" cm="1">
        <f t="array" ref="J60">_xlfn.IFS(I60 = "Catastrophic", 90%, I60 = "Major", 70%, I60 = "Moderate", 50%, I60 = "Minor", 30%, I60 = "Negligible", 5%)</f>
        <v>0.7</v>
      </c>
      <c r="K60" s="123">
        <f t="shared" si="0"/>
        <v>105000</v>
      </c>
      <c r="L60" s="25" cm="1">
        <f t="array" ref="L60">_xlfn.IFS(H60 = "Almost Certain", 0.8, H60 = "Likely", 0.75, H60 = "Possible", 0.5, H60 = "Unlikely", 0.25, H60= "Rare", 0.1)</f>
        <v>0.5</v>
      </c>
      <c r="M60" s="93">
        <f t="shared" si="1"/>
        <v>52500</v>
      </c>
      <c r="N60" s="93">
        <f t="shared" si="2"/>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1" spans="1:14" ht="16" x14ac:dyDescent="0.2">
      <c r="E61" s="33" t="s">
        <v>1045</v>
      </c>
      <c r="F61" s="35" t="s">
        <v>1505</v>
      </c>
      <c r="G61" s="277">
        <v>15</v>
      </c>
      <c r="H61" s="4" t="s">
        <v>838</v>
      </c>
      <c r="I61" s="4" t="s">
        <v>840</v>
      </c>
      <c r="J61" s="60" cm="1">
        <f t="array" ref="J61">_xlfn.IFS(I61 = "Catastrophic", 90%, I61 = "Major", 70%, I61 = "Moderate", 50%, I61 = "Minor", 30%, I61 = "Negligible", 5%)</f>
        <v>0.7</v>
      </c>
      <c r="K61" s="123">
        <f t="shared" ref="K61" si="37">D60*J61</f>
        <v>105000</v>
      </c>
      <c r="L61" s="25" cm="1">
        <f t="array" ref="L61">_xlfn.IFS(H61 = "Almost Certain", 0.8, H61 = "Likely", 0.75, H61 = "Possible", 0.5, H61 = "Unlikely", 0.25, H61= "Rare", 0.1)</f>
        <v>0.5</v>
      </c>
      <c r="M61" s="93">
        <f t="shared" si="1"/>
        <v>52500</v>
      </c>
      <c r="N61" s="93">
        <f t="shared" si="2"/>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2" spans="1:14" ht="16" x14ac:dyDescent="0.2">
      <c r="E62" s="56" t="s">
        <v>1048</v>
      </c>
      <c r="F62" s="35" t="s">
        <v>1507</v>
      </c>
      <c r="G62" s="277">
        <v>15</v>
      </c>
      <c r="H62" s="4" t="s">
        <v>838</v>
      </c>
      <c r="I62" s="4" t="s">
        <v>840</v>
      </c>
      <c r="J62" s="60" cm="1">
        <f t="array" ref="J62">_xlfn.IFS(I62 = "Catastrophic", 90%, I62 = "Major", 70%, I62 = "Moderate", 50%, I62 = "Minor", 30%, I62 = "Negligible", 5%)</f>
        <v>0.7</v>
      </c>
      <c r="K62" s="123">
        <f t="shared" ref="K62" si="38">D60*J62</f>
        <v>105000</v>
      </c>
      <c r="L62" s="25" cm="1">
        <f t="array" ref="L62">_xlfn.IFS(H62 = "Almost Certain", 0.8, H62 = "Likely", 0.75, H62 = "Possible", 0.5, H62 = "Unlikely", 0.25, H62= "Rare", 0.1)</f>
        <v>0.5</v>
      </c>
      <c r="M62" s="93">
        <f t="shared" si="1"/>
        <v>52500</v>
      </c>
      <c r="N62" s="93">
        <f t="shared" si="2"/>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3" spans="1:14" ht="32" x14ac:dyDescent="0.2">
      <c r="B63" s="35" t="s">
        <v>175</v>
      </c>
      <c r="C63" s="15" t="s">
        <v>176</v>
      </c>
      <c r="D63" s="655">
        <v>180000</v>
      </c>
      <c r="E63" s="56" t="s">
        <v>908</v>
      </c>
      <c r="F63" s="35" t="s">
        <v>1505</v>
      </c>
      <c r="G63" s="277">
        <v>20</v>
      </c>
      <c r="H63" s="4" t="s">
        <v>850</v>
      </c>
      <c r="I63" s="4" t="s">
        <v>839</v>
      </c>
      <c r="J63" s="60" cm="1">
        <f t="array" ref="J63">_xlfn.IFS(I63 = "Catastrophic", 90%, I63 = "Major", 70%, I63 = "Moderate", 50%, I63 = "Minor", 30%, I63 = "Negligible", 5%)</f>
        <v>0.9</v>
      </c>
      <c r="K63" s="123">
        <f t="shared" si="0"/>
        <v>162000</v>
      </c>
      <c r="L63" s="25" cm="1">
        <f t="array" ref="L63">_xlfn.IFS(H63 = "Almost Certain", 0.8, H63 = "Likely", 0.75, H63 = "Possible", 0.5, H63 = "Unlikely", 0.25, H63= "Rare", 0.1)</f>
        <v>0.75</v>
      </c>
      <c r="M63" s="93">
        <f t="shared" si="1"/>
        <v>121500</v>
      </c>
      <c r="N63" s="93">
        <f t="shared" si="2"/>
        <v>121500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4" spans="1:14" ht="16" x14ac:dyDescent="0.2">
      <c r="E64" s="56" t="s">
        <v>1054</v>
      </c>
      <c r="F64" s="35" t="s">
        <v>1505</v>
      </c>
      <c r="G64" s="277">
        <v>30</v>
      </c>
      <c r="H64" s="4" t="s">
        <v>850</v>
      </c>
      <c r="I64" s="4" t="s">
        <v>840</v>
      </c>
      <c r="J64" s="60" cm="1">
        <f t="array" ref="J64">_xlfn.IFS(I64 = "Catastrophic", 90%, I64 = "Major", 70%, I64 = "Moderate", 50%, I64 = "Minor", 30%, I64 = "Negligible", 5%)</f>
        <v>0.7</v>
      </c>
      <c r="K64" s="123">
        <f t="shared" ref="K64" si="39">D63*J64</f>
        <v>125999.99999999999</v>
      </c>
      <c r="L64" s="25" cm="1">
        <f t="array" ref="L64">_xlfn.IFS(H64 = "Almost Certain", 0.8, H64 = "Likely", 0.75, H64 = "Possible", 0.5, H64 = "Unlikely", 0.25, H64= "Rare", 0.1)</f>
        <v>0.75</v>
      </c>
      <c r="M64" s="93">
        <f t="shared" si="1"/>
        <v>94499.999999999985</v>
      </c>
      <c r="N64" s="93">
        <f t="shared" si="2"/>
        <v>94499.999999999985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5" spans="1:14" ht="16" x14ac:dyDescent="0.2">
      <c r="E65" s="56" t="s">
        <v>1058</v>
      </c>
      <c r="F65" s="35" t="s">
        <v>1507</v>
      </c>
      <c r="G65" s="277">
        <v>15</v>
      </c>
      <c r="H65" s="4" t="s">
        <v>838</v>
      </c>
      <c r="I65" s="4" t="s">
        <v>859</v>
      </c>
      <c r="J65" s="60" cm="1">
        <f t="array" ref="J65">_xlfn.IFS(I65 = "Catastrophic", 90%, I65 = "Major", 70%, I65 = "Moderate", 50%, I65 = "Minor", 30%, I65 = "Negligible", 5%)</f>
        <v>0.5</v>
      </c>
      <c r="K65" s="123">
        <f t="shared" ref="K65" si="40">D63*J65</f>
        <v>90000</v>
      </c>
      <c r="L65" s="25" cm="1">
        <f t="array" ref="L65">_xlfn.IFS(H65 = "Almost Certain", 0.8, H65 = "Likely", 0.75, H65 = "Possible", 0.5, H65 = "Unlikely", 0.25, H65= "Rare", 0.1)</f>
        <v>0.5</v>
      </c>
      <c r="M65" s="93">
        <f t="shared" si="1"/>
        <v>45000</v>
      </c>
      <c r="N65" s="93">
        <f t="shared" si="2"/>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6" spans="1:14" ht="16" x14ac:dyDescent="0.2">
      <c r="B66" s="35" t="s">
        <v>183</v>
      </c>
      <c r="C66" s="15" t="s">
        <v>184</v>
      </c>
      <c r="D66" s="664">
        <v>300000</v>
      </c>
      <c r="E66" s="56" t="s">
        <v>1509</v>
      </c>
      <c r="F66" s="35" t="s">
        <v>859</v>
      </c>
      <c r="G66" s="277">
        <v>20</v>
      </c>
      <c r="H66" s="4" t="s">
        <v>838</v>
      </c>
      <c r="I66" s="4" t="s">
        <v>840</v>
      </c>
      <c r="J66" s="60" cm="1">
        <f t="array" ref="J66">_xlfn.IFS(I66 = "Catastrophic", 90%, I66 = "Major", 70%, I66 = "Moderate", 50%, I66 = "Minor", 30%, I66 = "Negligible", 5%)</f>
        <v>0.7</v>
      </c>
      <c r="K66" s="123">
        <f t="shared" si="0"/>
        <v>210000</v>
      </c>
      <c r="L66" s="25" cm="1">
        <f t="array" ref="L66">_xlfn.IFS(H66 = "Almost Certain", 0.8, H66 = "Likely", 0.75, H66 = "Possible", 0.5, H66 = "Unlikely", 0.25, H66= "Rare", 0.1)</f>
        <v>0.5</v>
      </c>
      <c r="M66" s="93">
        <f t="shared" si="1"/>
        <v>105000</v>
      </c>
      <c r="N66" s="93">
        <f t="shared" ref="N66:N83" si="41">M66</f>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7" spans="1:14" ht="16" x14ac:dyDescent="0.2">
      <c r="E67" s="57" t="s">
        <v>1510</v>
      </c>
      <c r="F67" s="35" t="s">
        <v>859</v>
      </c>
      <c r="G67" s="280">
        <v>15</v>
      </c>
      <c r="H67" s="4" t="s">
        <v>1025</v>
      </c>
      <c r="I67" s="4" t="s">
        <v>859</v>
      </c>
      <c r="J67" s="60" cm="1">
        <f t="array" ref="J67">_xlfn.IFS(I67 = "Catastrophic", 90%, I67 = "Major", 70%, I67 = "Moderate", 50%, I67 = "Minor", 30%, I67 = "Negligible", 5%)</f>
        <v>0.5</v>
      </c>
      <c r="K67" s="123">
        <f t="shared" ref="K67" si="42">D66*J67</f>
        <v>150000</v>
      </c>
      <c r="L67" s="25" cm="1">
        <f t="array" ref="L67">_xlfn.IFS(H67 = "Almost Certain", 0.8, H67 = "Likely", 0.75, H67 = "Possible", 0.5, H67 = "Unlikely", 0.25, H67= "Rare", 0.1)</f>
        <v>0.25</v>
      </c>
      <c r="M67" s="93">
        <f t="shared" si="1"/>
        <v>37500</v>
      </c>
      <c r="N67" s="93">
        <f t="shared" si="41"/>
        <v>37500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8" spans="1:14" ht="16" x14ac:dyDescent="0.2">
      <c r="E68" s="102" t="s">
        <v>1511</v>
      </c>
      <c r="F68" s="35" t="s">
        <v>1505</v>
      </c>
      <c r="G68" s="277">
        <v>15</v>
      </c>
      <c r="H68" s="4" t="s">
        <v>838</v>
      </c>
      <c r="I68" s="4" t="s">
        <v>840</v>
      </c>
      <c r="J68" s="60" cm="1">
        <f t="array" ref="J68">_xlfn.IFS(I68 = "Catastrophic", 90%, I68 = "Major", 70%, I68 = "Moderate", 50%, I68 = "Minor", 30%, I68 = "Negligible", 5%)</f>
        <v>0.7</v>
      </c>
      <c r="K68" s="123">
        <f t="shared" ref="K68" si="43">D66*J68</f>
        <v>210000</v>
      </c>
      <c r="L68" s="25" cm="1">
        <f t="array" ref="L68">_xlfn.IFS(H68 = "Almost Certain", 0.8, H68 = "Likely", 0.75, H68 = "Possible", 0.5, H68 = "Unlikely", 0.25, H68= "Rare", 0.1)</f>
        <v>0.5</v>
      </c>
      <c r="M68" s="93">
        <f t="shared" si="1"/>
        <v>105000</v>
      </c>
      <c r="N68" s="93">
        <f t="shared" si="41"/>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9" spans="1:14" ht="16" x14ac:dyDescent="0.2">
      <c r="B69" s="35" t="s">
        <v>193</v>
      </c>
      <c r="C69" s="15" t="s">
        <v>194</v>
      </c>
      <c r="D69" s="664">
        <v>120000</v>
      </c>
      <c r="E69" s="102" t="s">
        <v>937</v>
      </c>
      <c r="F69" s="35" t="s">
        <v>1505</v>
      </c>
      <c r="G69" s="277">
        <v>30</v>
      </c>
      <c r="H69" s="4" t="s">
        <v>850</v>
      </c>
      <c r="I69" s="4" t="s">
        <v>840</v>
      </c>
      <c r="J69" s="60" cm="1">
        <f t="array" ref="J69">_xlfn.IFS(I69 = "Catastrophic", 90%, I69 = "Major", 70%, I69 = "Moderate", 50%, I69 = "Minor", 30%, I69 = "Negligible", 5%)</f>
        <v>0.7</v>
      </c>
      <c r="K69" s="123">
        <f t="shared" si="0"/>
        <v>84000</v>
      </c>
      <c r="L69" s="25" cm="1">
        <f t="array" ref="L69">_xlfn.IFS(H69 = "Almost Certain", 0.8, H69 = "Likely", 0.75, H69 = "Possible", 0.5, H69 = "Unlikely", 0.25, H69= "Rare", 0.1)</f>
        <v>0.75</v>
      </c>
      <c r="M69" s="93">
        <f t="shared" si="1"/>
        <v>63000</v>
      </c>
      <c r="N69" s="93">
        <f t="shared" si="41"/>
        <v>63000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0" spans="1:14" ht="16" x14ac:dyDescent="0.2">
      <c r="E70" s="58" t="s">
        <v>1075</v>
      </c>
      <c r="F70" s="35" t="s">
        <v>859</v>
      </c>
      <c r="G70" s="277">
        <v>14</v>
      </c>
      <c r="H70" s="4" t="s">
        <v>850</v>
      </c>
      <c r="I70" s="4" t="s">
        <v>840</v>
      </c>
      <c r="J70" s="60" cm="1">
        <f t="array" ref="J70">_xlfn.IFS(I70 = "Catastrophic", 90%, I70 = "Major", 70%, I70 = "Moderate", 50%, I70 = "Minor", 30%, I70 = "Negligible", 5%)</f>
        <v>0.7</v>
      </c>
      <c r="K70" s="123">
        <f t="shared" ref="K70" si="44">D69*J70</f>
        <v>84000</v>
      </c>
      <c r="L70" s="25" cm="1">
        <f t="array" ref="L70">_xlfn.IFS(H70 = "Almost Certain", 0.8, H70 = "Likely", 0.75, H70 = "Possible", 0.5, H70 = "Unlikely", 0.25, H70= "Rare", 0.1)</f>
        <v>0.75</v>
      </c>
      <c r="M70" s="93">
        <f t="shared" si="1"/>
        <v>63000</v>
      </c>
      <c r="N70" s="93">
        <f t="shared" si="41"/>
        <v>63000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1" spans="1:14" ht="16" x14ac:dyDescent="0.2">
      <c r="E71" s="56" t="s">
        <v>1078</v>
      </c>
      <c r="F71" s="35" t="s">
        <v>1507</v>
      </c>
      <c r="G71" s="277">
        <v>15</v>
      </c>
      <c r="H71" s="4" t="s">
        <v>838</v>
      </c>
      <c r="I71" s="4" t="s">
        <v>840</v>
      </c>
      <c r="J71" s="60" cm="1">
        <f t="array" ref="J71">_xlfn.IFS(I71 = "Catastrophic", 90%, I71 = "Major", 70%, I71 = "Moderate", 50%, I71 = "Minor", 30%, I71 = "Negligible", 5%)</f>
        <v>0.7</v>
      </c>
      <c r="K71" s="123">
        <f t="shared" ref="K71" si="45">D69*J71</f>
        <v>84000</v>
      </c>
      <c r="L71" s="25" cm="1">
        <f t="array" ref="L71">_xlfn.IFS(H71 = "Almost Certain", 0.8, H71 = "Likely", 0.75, H71 = "Possible", 0.5, H71 = "Unlikely", 0.25, H71= "Rare", 0.1)</f>
        <v>0.5</v>
      </c>
      <c r="M71" s="93">
        <f t="shared" si="1"/>
        <v>42000</v>
      </c>
      <c r="N71" s="93">
        <f t="shared" si="41"/>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2" spans="1:14" ht="16" x14ac:dyDescent="0.2">
      <c r="B72" s="35" t="s">
        <v>201</v>
      </c>
      <c r="C72" s="15" t="s">
        <v>202</v>
      </c>
      <c r="D72" s="655">
        <v>130000</v>
      </c>
      <c r="E72" s="56" t="s">
        <v>1081</v>
      </c>
      <c r="F72" s="35" t="s">
        <v>859</v>
      </c>
      <c r="G72" s="277">
        <v>10</v>
      </c>
      <c r="H72" s="4" t="s">
        <v>838</v>
      </c>
      <c r="I72" s="4" t="s">
        <v>840</v>
      </c>
      <c r="J72" s="60" cm="1">
        <f t="array" ref="J72">_xlfn.IFS(I72 = "Catastrophic", 90%, I72 = "Major", 70%, I72 = "Moderate", 50%, I72 = "Minor", 30%, I72 = "Negligible", 5%)</f>
        <v>0.7</v>
      </c>
      <c r="K72" s="123">
        <f t="shared" si="0"/>
        <v>91000</v>
      </c>
      <c r="L72" s="25" cm="1">
        <f t="array" ref="L72">_xlfn.IFS(H72 = "Almost Certain", 0.8, H72 = "Likely", 0.75, H72 = "Possible", 0.5, H72 = "Unlikely", 0.25, H72= "Rare", 0.1)</f>
        <v>0.5</v>
      </c>
      <c r="M72" s="93">
        <f t="shared" si="1"/>
        <v>45500</v>
      </c>
      <c r="N72" s="93">
        <f t="shared" si="41"/>
        <v>45500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3" spans="1:14" ht="16" x14ac:dyDescent="0.2">
      <c r="E73" s="56" t="s">
        <v>904</v>
      </c>
      <c r="F73" s="35" t="s">
        <v>1505</v>
      </c>
      <c r="G73" s="277">
        <v>15</v>
      </c>
      <c r="H73" s="4" t="s">
        <v>838</v>
      </c>
      <c r="I73" s="4" t="s">
        <v>840</v>
      </c>
      <c r="J73" s="60" cm="1">
        <f t="array" ref="J73">_xlfn.IFS(I73 = "Catastrophic", 90%, I73 = "Major", 70%, I73 = "Moderate", 50%, I73 = "Minor", 30%, I73 = "Negligible", 5%)</f>
        <v>0.7</v>
      </c>
      <c r="K73" s="123">
        <f t="shared" ref="K73" si="46">D72*J73</f>
        <v>91000</v>
      </c>
      <c r="L73" s="25" cm="1">
        <f t="array" ref="L73">_xlfn.IFS(H73 = "Almost Certain", 0.8, H73 = "Likely", 0.75, H73 = "Possible", 0.5, H73 = "Unlikely", 0.25, H73= "Rare", 0.1)</f>
        <v>0.5</v>
      </c>
      <c r="M73" s="93">
        <f t="shared" si="1"/>
        <v>45500</v>
      </c>
      <c r="N73" s="93">
        <f t="shared" si="41"/>
        <v>45500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4" spans="1:14" ht="16" x14ac:dyDescent="0.2">
      <c r="E74" s="56" t="s">
        <v>1026</v>
      </c>
      <c r="F74" s="35" t="s">
        <v>1507</v>
      </c>
      <c r="G74" s="277">
        <v>15</v>
      </c>
      <c r="H74" s="4" t="s">
        <v>838</v>
      </c>
      <c r="I74" s="4" t="s">
        <v>859</v>
      </c>
      <c r="J74" s="60" cm="1">
        <f t="array" ref="J74">_xlfn.IFS(I74 = "Catastrophic", 90%, I74 = "Major", 70%, I74 = "Moderate", 50%, I74 = "Minor", 30%, I74 = "Negligible", 5%)</f>
        <v>0.5</v>
      </c>
      <c r="K74" s="123">
        <f t="shared" ref="K74" si="47">D72*J74</f>
        <v>65000</v>
      </c>
      <c r="L74" s="25" cm="1">
        <f t="array" ref="L74">_xlfn.IFS(H74 = "Almost Certain", 0.8, H74 = "Likely", 0.75, H74 = "Possible", 0.5, H74 = "Unlikely", 0.25, H74= "Rare", 0.1)</f>
        <v>0.5</v>
      </c>
      <c r="M74" s="93">
        <f t="shared" si="1"/>
        <v>32500</v>
      </c>
      <c r="N74" s="93">
        <f t="shared" si="41"/>
        <v>32500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5" spans="1:14" ht="16" x14ac:dyDescent="0.2">
      <c r="B75" s="35" t="s">
        <v>211</v>
      </c>
      <c r="C75" s="15" t="s">
        <v>212</v>
      </c>
      <c r="D75" s="655">
        <v>100000</v>
      </c>
      <c r="E75" s="56" t="s">
        <v>1089</v>
      </c>
      <c r="F75" s="35" t="s">
        <v>1505</v>
      </c>
      <c r="G75" s="277">
        <v>15</v>
      </c>
      <c r="H75" s="4" t="s">
        <v>838</v>
      </c>
      <c r="I75" s="4" t="s">
        <v>840</v>
      </c>
      <c r="J75" s="60" cm="1">
        <f t="array" ref="J75">_xlfn.IFS(I75 = "Catastrophic", 90%, I75 = "Major", 70%, I75 = "Moderate", 50%, I75 = "Minor", 30%, I75 = "Negligible", 5%)</f>
        <v>0.7</v>
      </c>
      <c r="K75" s="123">
        <f t="shared" si="0"/>
        <v>70000</v>
      </c>
      <c r="L75" s="25" cm="1">
        <f t="array" ref="L75">_xlfn.IFS(H75 = "Almost Certain", 0.8, H75 = "Likely", 0.75, H75 = "Possible", 0.5, H75 = "Unlikely", 0.25, H75= "Rare", 0.1)</f>
        <v>0.5</v>
      </c>
      <c r="M75" s="93">
        <f t="shared" si="1"/>
        <v>35000</v>
      </c>
      <c r="N75" s="93">
        <f t="shared" si="41"/>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6" spans="1:14" ht="16" x14ac:dyDescent="0.2">
      <c r="E76" s="56" t="s">
        <v>1092</v>
      </c>
      <c r="F76" s="35" t="s">
        <v>1505</v>
      </c>
      <c r="G76" s="277">
        <v>15</v>
      </c>
      <c r="H76" s="4" t="s">
        <v>838</v>
      </c>
      <c r="I76" s="4" t="s">
        <v>840</v>
      </c>
      <c r="J76" s="60" cm="1">
        <f t="array" ref="J76">_xlfn.IFS(I76 = "Catastrophic", 90%, I76 = "Major", 70%, I76 = "Moderate", 50%, I76 = "Minor", 30%, I76 = "Negligible", 5%)</f>
        <v>0.7</v>
      </c>
      <c r="K76" s="123">
        <f t="shared" ref="K76" si="48">D75*J76</f>
        <v>70000</v>
      </c>
      <c r="L76" s="25" cm="1">
        <f t="array" ref="L76">_xlfn.IFS(H76 = "Almost Certain", 0.8, H76 = "Likely", 0.75, H76 = "Possible", 0.5, H76 = "Unlikely", 0.25, H76= "Rare", 0.1)</f>
        <v>0.5</v>
      </c>
      <c r="M76" s="93">
        <f t="shared" si="1"/>
        <v>35000</v>
      </c>
      <c r="N76" s="93">
        <f t="shared" si="41"/>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7" spans="1:14" ht="16" x14ac:dyDescent="0.2">
      <c r="E77" s="56" t="s">
        <v>1014</v>
      </c>
      <c r="F77" s="35" t="s">
        <v>859</v>
      </c>
      <c r="G77" s="277">
        <v>10</v>
      </c>
      <c r="H77" s="4" t="s">
        <v>838</v>
      </c>
      <c r="I77" s="4" t="s">
        <v>840</v>
      </c>
      <c r="J77" s="60" cm="1">
        <f t="array" ref="J77">_xlfn.IFS(I77 = "Catastrophic", 90%, I77 = "Major", 70%, I77 = "Moderate", 50%, I77 = "Minor", 30%, I77 = "Negligible", 5%)</f>
        <v>0.7</v>
      </c>
      <c r="K77" s="123">
        <f t="shared" ref="K77" si="49">D75*J77</f>
        <v>70000</v>
      </c>
      <c r="L77" s="25" cm="1">
        <f t="array" ref="L77">_xlfn.IFS(H77 = "Almost Certain", 0.8, H77 = "Likely", 0.75, H77 = "Possible", 0.5, H77 = "Unlikely", 0.25, H77= "Rare", 0.1)</f>
        <v>0.5</v>
      </c>
      <c r="M77" s="93">
        <f t="shared" si="1"/>
        <v>35000</v>
      </c>
      <c r="N77" s="93">
        <f t="shared" si="41"/>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8" spans="1:14" ht="16" x14ac:dyDescent="0.2">
      <c r="B78" s="35" t="s">
        <v>219</v>
      </c>
      <c r="C78" s="15" t="s">
        <v>220</v>
      </c>
      <c r="D78" s="655">
        <v>90000</v>
      </c>
      <c r="E78" s="56" t="s">
        <v>937</v>
      </c>
      <c r="F78" s="35" t="s">
        <v>1505</v>
      </c>
      <c r="G78" s="277">
        <v>30</v>
      </c>
      <c r="H78" s="4" t="s">
        <v>850</v>
      </c>
      <c r="I78" s="4" t="s">
        <v>840</v>
      </c>
      <c r="J78" s="60" cm="1">
        <f t="array" ref="J78">_xlfn.IFS(I78 = "Catastrophic", 90%, I78 = "Major", 70%, I78 = "Moderate", 50%, I78 = "Minor", 30%, I78 = "Negligible", 5%)</f>
        <v>0.7</v>
      </c>
      <c r="K78" s="123">
        <f t="shared" si="0"/>
        <v>62999.999999999993</v>
      </c>
      <c r="L78" s="25" cm="1">
        <f t="array" ref="L78">_xlfn.IFS(H78 = "Almost Certain", 0.8, H78 = "Likely", 0.75, H78 = "Possible", 0.5, H78 = "Unlikely", 0.25, H78= "Rare", 0.1)</f>
        <v>0.75</v>
      </c>
      <c r="M78" s="93">
        <f t="shared" si="1"/>
        <v>47249.999999999993</v>
      </c>
      <c r="N78" s="93">
        <f t="shared" si="41"/>
        <v>47249.999999999993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9" spans="1:14" ht="16" x14ac:dyDescent="0.2">
      <c r="E79" s="56" t="s">
        <v>1512</v>
      </c>
      <c r="F79" s="35" t="s">
        <v>859</v>
      </c>
      <c r="G79" s="277">
        <v>20</v>
      </c>
      <c r="H79" s="4" t="s">
        <v>838</v>
      </c>
      <c r="I79" s="15" t="s">
        <v>840</v>
      </c>
      <c r="J79" s="60" cm="1">
        <f t="array" ref="J79">_xlfn.IFS(I79 = "Catastrophic", 90%, I79 = "Major", 70%, I79 = "Moderate", 50%, I79 = "Minor", 30%, I79 = "Negligible", 5%)</f>
        <v>0.7</v>
      </c>
      <c r="K79" s="123">
        <f t="shared" ref="K79" si="50">D78*J79</f>
        <v>62999.999999999993</v>
      </c>
      <c r="L79" s="25" cm="1">
        <f t="array" ref="L79">_xlfn.IFS(H79 = "Almost Certain", 0.8, H79 = "Likely", 0.75, H79 = "Possible", 0.5, H79 = "Unlikely", 0.25, H79= "Rare", 0.1)</f>
        <v>0.5</v>
      </c>
      <c r="M79" s="93">
        <f t="shared" si="1"/>
        <v>31499.999999999996</v>
      </c>
      <c r="N79" s="93">
        <f t="shared" si="41"/>
        <v>31499.999999999996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0" spans="1:14" ht="16" x14ac:dyDescent="0.2">
      <c r="E80" s="56" t="s">
        <v>1026</v>
      </c>
      <c r="F80" s="35" t="s">
        <v>859</v>
      </c>
      <c r="G80" s="277">
        <v>15</v>
      </c>
      <c r="H80" s="4" t="s">
        <v>838</v>
      </c>
      <c r="I80" s="4" t="s">
        <v>840</v>
      </c>
      <c r="J80" s="60" cm="1">
        <f t="array" ref="J80">_xlfn.IFS(I80 = "Catastrophic", 90%, I80 = "Major", 70%, I80 = "Moderate", 50%, I80 = "Minor", 30%, I80 = "Negligible", 5%)</f>
        <v>0.7</v>
      </c>
      <c r="K80" s="123">
        <f t="shared" ref="K80" si="51">D78*J80</f>
        <v>62999.999999999993</v>
      </c>
      <c r="L80" s="25" cm="1">
        <f t="array" ref="L80">_xlfn.IFS(H80 = "Almost Certain", 0.8, H80 = "Likely", 0.75, H80 = "Possible", 0.5, H80 = "Unlikely", 0.25, H80= "Rare", 0.1)</f>
        <v>0.5</v>
      </c>
      <c r="M80" s="93">
        <f t="shared" si="1"/>
        <v>31499.999999999996</v>
      </c>
      <c r="N80" s="93">
        <f t="shared" si="41"/>
        <v>31499.999999999996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1" spans="1:14" ht="16" x14ac:dyDescent="0.2">
      <c r="B81" s="50" t="s">
        <v>226</v>
      </c>
      <c r="C81" s="90" t="s">
        <v>227</v>
      </c>
      <c r="D81" s="658">
        <v>160000</v>
      </c>
      <c r="E81" s="56" t="s">
        <v>1106</v>
      </c>
      <c r="F81" s="50" t="s">
        <v>1505</v>
      </c>
      <c r="G81" s="281">
        <v>35</v>
      </c>
      <c r="H81" s="4" t="s">
        <v>1025</v>
      </c>
      <c r="I81" s="4" t="s">
        <v>840</v>
      </c>
      <c r="J81" s="60" cm="1">
        <f t="array" ref="J81">_xlfn.IFS(I81 = "Catastrophic", 90%, I81 = "Major", 70%, I81 = "Moderate", 50%, I81 = "Minor", 30%, I81 = "Negligible", 5%)</f>
        <v>0.7</v>
      </c>
      <c r="K81" s="123">
        <f t="shared" si="0"/>
        <v>112000</v>
      </c>
      <c r="L81" s="25" cm="1">
        <f t="array" ref="L81">_xlfn.IFS(H81 = "Almost Certain", 0.8, H81 = "Likely", 0.75, H81 = "Possible", 0.5, H81 = "Unlikely", 0.25, H81= "Rare", 0.1)</f>
        <v>0.25</v>
      </c>
      <c r="M81" s="93">
        <f t="shared" si="1"/>
        <v>28000</v>
      </c>
      <c r="N81" s="93">
        <f t="shared" si="41"/>
        <v>28000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2" spans="1:14" ht="16" x14ac:dyDescent="0.2">
      <c r="E82" s="59" t="s">
        <v>1513</v>
      </c>
      <c r="F82" s="27" t="s">
        <v>1505</v>
      </c>
      <c r="G82" s="277">
        <v>25</v>
      </c>
      <c r="H82" s="4" t="s">
        <v>838</v>
      </c>
      <c r="I82" s="4" t="s">
        <v>840</v>
      </c>
      <c r="J82" s="60" cm="1">
        <f t="array" ref="J82">_xlfn.IFS(I82 = "Catastrophic", 90%, I82 = "Major", 70%, I82 = "Moderate", 50%, I82 = "Minor", 30%, I82 = "Negligible", 5%)</f>
        <v>0.7</v>
      </c>
      <c r="K82" s="123">
        <f t="shared" ref="K82" si="52">D81*J82</f>
        <v>112000</v>
      </c>
      <c r="L82" s="25" cm="1">
        <f t="array" ref="L82">_xlfn.IFS(H82 = "Almost Certain", 0.8, H82 = "Likely", 0.75, H82 = "Possible", 0.5, H82 = "Unlikely", 0.25, H82= "Rare", 0.1)</f>
        <v>0.5</v>
      </c>
      <c r="M82" s="93">
        <f t="shared" si="1"/>
        <v>56000</v>
      </c>
      <c r="N82" s="93">
        <f t="shared" si="41"/>
        <v>56000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3" spans="1:14" ht="16" x14ac:dyDescent="0.2">
      <c r="E83" s="59" t="s">
        <v>1114</v>
      </c>
      <c r="F83" s="27" t="s">
        <v>1505</v>
      </c>
      <c r="G83" s="282">
        <v>40</v>
      </c>
      <c r="H83" s="4" t="s">
        <v>838</v>
      </c>
      <c r="I83" s="4" t="s">
        <v>839</v>
      </c>
      <c r="J83" s="60" cm="1">
        <f t="array" ref="J83">_xlfn.IFS(I83 = "Catastrophic", 90%, I83 = "Major", 70%, I83 = "Moderate", 50%, I83 = "Minor", 30%, I83 = "Negligible", 5%)</f>
        <v>0.9</v>
      </c>
      <c r="K83" s="123">
        <f t="shared" ref="K83" si="53">D81*J83</f>
        <v>144000</v>
      </c>
      <c r="L83" s="25" cm="1">
        <f t="array" ref="L83">_xlfn.IFS(H83 = "Almost Certain", 0.8, H83 = "Likely", 0.75, H83 = "Possible", 0.5, H83 = "Unlikely", 0.25, H83= "Rare", 0.1)</f>
        <v>0.5</v>
      </c>
      <c r="M83" s="93">
        <f t="shared" si="1"/>
        <v>72000</v>
      </c>
      <c r="N83" s="93">
        <f t="shared" si="41"/>
        <v>72000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5" spans="1:14" ht="16" x14ac:dyDescent="0.2">
      <c r="A85" s="673" t="s">
        <v>234</v>
      </c>
      <c r="B85" s="617" t="s">
        <v>237</v>
      </c>
      <c r="C85" s="674" t="s">
        <v>238</v>
      </c>
      <c r="D85" s="660">
        <v>100000</v>
      </c>
      <c r="E85" s="63" t="s">
        <v>937</v>
      </c>
      <c r="F85" s="25" t="s">
        <v>1505</v>
      </c>
      <c r="G85" s="277">
        <v>30</v>
      </c>
      <c r="H85" s="4" t="s">
        <v>850</v>
      </c>
      <c r="I85" s="4" t="s">
        <v>840</v>
      </c>
      <c r="J85" s="60" cm="1">
        <f t="array" ref="J85">_xlfn.IFS(I85 = "Catastrophic", 90%, I85 = "Major", 70%, I85 = "Moderate", 50%, I85 = "Minor", 30%, I85 = "Negligible", 5%)</f>
        <v>0.7</v>
      </c>
      <c r="K85" s="123">
        <f t="shared" si="0"/>
        <v>70000</v>
      </c>
      <c r="L85" s="25" cm="1">
        <f t="array" ref="L85">_xlfn.IFS(H85 = "Almost Certain", 0.8, H85 = "Likely", 0.75, H85 = "Possible", 0.5, H85 = "Unlikely", 0.25, H85= "Rare", 0.1)</f>
        <v>0.75</v>
      </c>
      <c r="M85" s="95">
        <f t="shared" si="1"/>
        <v>52500</v>
      </c>
      <c r="N85" s="93">
        <f t="shared" ref="N85:N114" si="54">M85</f>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6" spans="1:14" ht="16" x14ac:dyDescent="0.2">
      <c r="E86" s="63" t="s">
        <v>981</v>
      </c>
      <c r="F86" s="35" t="s">
        <v>1505</v>
      </c>
      <c r="G86" s="277">
        <v>20</v>
      </c>
      <c r="H86" s="4" t="s">
        <v>850</v>
      </c>
      <c r="I86" s="15" t="s">
        <v>859</v>
      </c>
      <c r="J86" s="60" cm="1">
        <f t="array" ref="J86">_xlfn.IFS(I86 = "Catastrophic", 90%, I86 = "Major", 70%, I86 = "Moderate", 50%, I86 = "Minor", 30%, I86 = "Negligible", 5%)</f>
        <v>0.5</v>
      </c>
      <c r="K86" s="123">
        <f>D85*J86</f>
        <v>50000</v>
      </c>
      <c r="L86" s="25" cm="1">
        <f t="array" ref="L86">_xlfn.IFS(H86 = "Almost Certain", 0.8, H86 = "Likely", 0.75, H86 = "Possible", 0.5, H86 = "Unlikely", 0.25, H86= "Rare", 0.1)</f>
        <v>0.75</v>
      </c>
      <c r="M86" s="95">
        <f t="shared" si="1"/>
        <v>37500</v>
      </c>
      <c r="N86" s="93">
        <f t="shared" si="54"/>
        <v>37500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7" spans="1:14" ht="16" x14ac:dyDescent="0.2">
      <c r="E87" s="63" t="s">
        <v>1122</v>
      </c>
      <c r="F87" s="35" t="s">
        <v>859</v>
      </c>
      <c r="G87" s="277">
        <v>10</v>
      </c>
      <c r="H87" s="4" t="s">
        <v>838</v>
      </c>
      <c r="I87" s="15" t="s">
        <v>859</v>
      </c>
      <c r="J87" s="60" cm="1">
        <f t="array" ref="J87">_xlfn.IFS(I87 = "Catastrophic", 90%, I87 = "Major", 70%, I87 = "Moderate", 50%, I87 = "Minor", 30%, I87 = "Negligible", 5%)</f>
        <v>0.5</v>
      </c>
      <c r="K87" s="123">
        <f>D85*J87</f>
        <v>50000</v>
      </c>
      <c r="L87" s="25" cm="1">
        <f t="array" ref="L87">_xlfn.IFS(H87 = "Almost Certain", 0.8, H87 = "Likely", 0.75, H87 = "Possible", 0.5, H87 = "Unlikely", 0.25, H87= "Rare", 0.1)</f>
        <v>0.5</v>
      </c>
      <c r="M87" s="95">
        <f t="shared" si="1"/>
        <v>25000</v>
      </c>
      <c r="N87" s="93">
        <f t="shared" si="54"/>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8" spans="1:14" ht="16" x14ac:dyDescent="0.2">
      <c r="B88" s="617" t="s">
        <v>245</v>
      </c>
      <c r="C88" s="674" t="s">
        <v>1125</v>
      </c>
      <c r="D88" s="660">
        <v>200000</v>
      </c>
      <c r="E88" s="63" t="s">
        <v>1126</v>
      </c>
      <c r="F88" s="25" t="s">
        <v>859</v>
      </c>
      <c r="G88" s="277">
        <v>20</v>
      </c>
      <c r="H88" s="4" t="s">
        <v>838</v>
      </c>
      <c r="I88" s="15" t="s">
        <v>859</v>
      </c>
      <c r="J88" s="60" cm="1">
        <f t="array" ref="J88">_xlfn.IFS(I88 = "Catastrophic", 90%, I88 = "Major", 70%, I88 = "Moderate", 50%, I88 = "Minor", 30%, I88 = "Negligible", 5%)</f>
        <v>0.5</v>
      </c>
      <c r="K88" s="123">
        <f t="shared" si="0"/>
        <v>100000</v>
      </c>
      <c r="L88" s="25" cm="1">
        <f t="array" ref="L88">_xlfn.IFS(H88 = "Almost Certain", 0.8, H88 = "Likely", 0.75, H88 = "Possible", 0.5, H88 = "Unlikely", 0.25, H88= "Rare", 0.1)</f>
        <v>0.5</v>
      </c>
      <c r="M88" s="95">
        <f t="shared" si="1"/>
        <v>50000</v>
      </c>
      <c r="N88" s="93">
        <f t="shared" si="54"/>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9" spans="1:14" ht="16" x14ac:dyDescent="0.2">
      <c r="E89" s="63" t="s">
        <v>932</v>
      </c>
      <c r="F89" s="35" t="s">
        <v>859</v>
      </c>
      <c r="G89" s="277">
        <v>15</v>
      </c>
      <c r="H89" s="4" t="s">
        <v>850</v>
      </c>
      <c r="I89" s="15" t="s">
        <v>859</v>
      </c>
      <c r="J89" s="60" cm="1">
        <f t="array" ref="J89">_xlfn.IFS(I89 = "Catastrophic", 90%, I89 = "Major", 70%, I89 = "Moderate", 50%, I89 = "Minor", 30%, I89 = "Negligible", 5%)</f>
        <v>0.5</v>
      </c>
      <c r="K89" s="123">
        <f t="shared" ref="K89" si="55">D88*J89</f>
        <v>100000</v>
      </c>
      <c r="L89" s="25" cm="1">
        <f t="array" ref="L89">_xlfn.IFS(H89 = "Almost Certain", 0.8, H89 = "Likely", 0.75, H89 = "Possible", 0.5, H89 = "Unlikely", 0.25, H89= "Rare", 0.1)</f>
        <v>0.75</v>
      </c>
      <c r="M89" s="95">
        <f t="shared" si="1"/>
        <v>75000</v>
      </c>
      <c r="N89" s="93">
        <f t="shared" si="54"/>
        <v>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0" spans="1:14" ht="16" x14ac:dyDescent="0.2">
      <c r="E90" s="62" t="s">
        <v>912</v>
      </c>
      <c r="F90" s="35" t="s">
        <v>859</v>
      </c>
      <c r="G90" s="277">
        <v>10</v>
      </c>
      <c r="H90" s="4" t="s">
        <v>838</v>
      </c>
      <c r="I90" s="15" t="s">
        <v>859</v>
      </c>
      <c r="J90" s="60" cm="1">
        <f t="array" ref="J90">_xlfn.IFS(I90 = "Catastrophic", 90%, I90 = "Major", 70%, I90 = "Moderate", 50%, I90 = "Minor", 30%, I90 = "Negligible", 5%)</f>
        <v>0.5</v>
      </c>
      <c r="K90" s="123">
        <f t="shared" ref="K90" si="56">D88*J90</f>
        <v>100000</v>
      </c>
      <c r="L90" s="25" cm="1">
        <f t="array" ref="L90">_xlfn.IFS(H90 = "Almost Certain", 0.8, H90 = "Likely", 0.75, H90 = "Possible", 0.5, H90 = "Unlikely", 0.25, H90= "Rare", 0.1)</f>
        <v>0.5</v>
      </c>
      <c r="M90" s="95">
        <f t="shared" si="1"/>
        <v>50000</v>
      </c>
      <c r="N90" s="93">
        <f t="shared" si="54"/>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1" spans="1:14" ht="16" x14ac:dyDescent="0.2">
      <c r="B91" s="617" t="s">
        <v>255</v>
      </c>
      <c r="C91" s="675" t="s">
        <v>256</v>
      </c>
      <c r="D91" s="660">
        <v>80000</v>
      </c>
      <c r="E91" s="63" t="s">
        <v>904</v>
      </c>
      <c r="F91" s="25" t="s">
        <v>859</v>
      </c>
      <c r="G91" s="277">
        <v>15</v>
      </c>
      <c r="H91" s="4" t="s">
        <v>850</v>
      </c>
      <c r="I91" s="15" t="s">
        <v>859</v>
      </c>
      <c r="J91" s="60" cm="1">
        <f t="array" ref="J91">_xlfn.IFS(I91 = "Catastrophic", 90%, I91 = "Major", 70%, I91 = "Moderate", 50%, I91 = "Minor", 30%, I91 = "Negligible", 5%)</f>
        <v>0.5</v>
      </c>
      <c r="K91" s="123">
        <f t="shared" si="0"/>
        <v>40000</v>
      </c>
      <c r="L91" s="25" cm="1">
        <f t="array" ref="L91">_xlfn.IFS(H91 = "Almost Certain", 0.8, H91 = "Likely", 0.75, H91 = "Possible", 0.5, H91 = "Unlikely", 0.25, H91= "Rare", 0.1)</f>
        <v>0.75</v>
      </c>
      <c r="M91" s="95">
        <f t="shared" si="1"/>
        <v>30000</v>
      </c>
      <c r="N91" s="93">
        <f t="shared" si="54"/>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2" spans="1:14" ht="16" x14ac:dyDescent="0.2">
      <c r="B92" s="617" t="s">
        <v>299</v>
      </c>
      <c r="E92" s="62" t="s">
        <v>1122</v>
      </c>
      <c r="F92" s="35" t="s">
        <v>859</v>
      </c>
      <c r="G92" s="277">
        <v>10</v>
      </c>
      <c r="H92" s="4" t="s">
        <v>838</v>
      </c>
      <c r="I92" s="15" t="s">
        <v>859</v>
      </c>
      <c r="J92" s="60" cm="1">
        <f t="array" ref="J92">_xlfn.IFS(I92 = "Catastrophic", 90%, I92 = "Major", 70%, I92 = "Moderate", 50%, I92 = "Minor", 30%, I92 = "Negligible", 5%)</f>
        <v>0.5</v>
      </c>
      <c r="K92" s="123">
        <f t="shared" ref="K92" si="57">D91*J92</f>
        <v>40000</v>
      </c>
      <c r="L92" s="25" cm="1">
        <f t="array" ref="L92">_xlfn.IFS(H92 = "Almost Certain", 0.8, H92 = "Likely", 0.75, H92 = "Possible", 0.5, H92 = "Unlikely", 0.25, H92= "Rare", 0.1)</f>
        <v>0.5</v>
      </c>
      <c r="M92" s="95">
        <f t="shared" si="1"/>
        <v>20000</v>
      </c>
      <c r="N92" s="93">
        <f t="shared" si="54"/>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3" spans="1:14" ht="16" x14ac:dyDescent="0.2">
      <c r="B93" s="617" t="s">
        <v>309</v>
      </c>
      <c r="E93" s="63" t="s">
        <v>1140</v>
      </c>
      <c r="F93" s="25" t="s">
        <v>859</v>
      </c>
      <c r="G93" s="277">
        <v>30</v>
      </c>
      <c r="H93" s="4" t="s">
        <v>838</v>
      </c>
      <c r="I93" s="15" t="s">
        <v>859</v>
      </c>
      <c r="J93" s="60" cm="1">
        <f t="array" ref="J93">_xlfn.IFS(I93 = "Catastrophic", 90%, I93 = "Major", 70%, I93 = "Moderate", 50%, I93 = "Minor", 30%, I93 = "Negligible", 5%)</f>
        <v>0.5</v>
      </c>
      <c r="K93" s="123">
        <f t="shared" ref="K93" si="58">D91*J93</f>
        <v>40000</v>
      </c>
      <c r="L93" s="25" cm="1">
        <f t="array" ref="L93">_xlfn.IFS(H93 = "Almost Certain", 0.8, H93 = "Likely", 0.75, H93 = "Possible", 0.5, H93 = "Unlikely", 0.25, H93= "Rare", 0.1)</f>
        <v>0.5</v>
      </c>
      <c r="M93" s="95">
        <f t="shared" si="1"/>
        <v>20000</v>
      </c>
      <c r="N93" s="93">
        <f t="shared" si="54"/>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4" spans="1:14" ht="16" x14ac:dyDescent="0.2">
      <c r="B94" s="617" t="s">
        <v>263</v>
      </c>
      <c r="C94" s="675" t="s">
        <v>264</v>
      </c>
      <c r="D94" s="660">
        <v>50000</v>
      </c>
      <c r="E94" s="62" t="s">
        <v>912</v>
      </c>
      <c r="F94" s="35" t="s">
        <v>859</v>
      </c>
      <c r="G94" s="277">
        <v>10</v>
      </c>
      <c r="H94" s="4" t="s">
        <v>838</v>
      </c>
      <c r="I94" s="15" t="s">
        <v>859</v>
      </c>
      <c r="J94" s="60" cm="1">
        <f t="array" ref="J94">_xlfn.IFS(I94 = "Catastrophic", 90%, I94 = "Major", 70%, I94 = "Moderate", 50%, I94 = "Minor", 30%, I94 = "Negligible", 5%)</f>
        <v>0.5</v>
      </c>
      <c r="K94" s="123">
        <f t="shared" si="0"/>
        <v>25000</v>
      </c>
      <c r="L94" s="25" cm="1">
        <f t="array" ref="L94">_xlfn.IFS(H94 = "Almost Certain", 0.8, H94 = "Likely", 0.75, H94 = "Possible", 0.5, H94 = "Unlikely", 0.25, H94= "Rare", 0.1)</f>
        <v>0.5</v>
      </c>
      <c r="M94" s="95">
        <f t="shared" si="1"/>
        <v>12500</v>
      </c>
      <c r="N94" s="93">
        <f t="shared" si="54"/>
        <v>12500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5" spans="1:14" ht="16" x14ac:dyDescent="0.2">
      <c r="B95" s="617" t="s">
        <v>328</v>
      </c>
      <c r="E95" s="63" t="s">
        <v>1146</v>
      </c>
      <c r="F95" s="25" t="s">
        <v>859</v>
      </c>
      <c r="G95" s="277">
        <v>15</v>
      </c>
      <c r="H95" s="4" t="s">
        <v>850</v>
      </c>
      <c r="I95" s="15" t="s">
        <v>859</v>
      </c>
      <c r="J95" s="60" cm="1">
        <f t="array" ref="J95">_xlfn.IFS(I95 = "Catastrophic", 90%, I95 = "Major", 70%, I95 = "Moderate", 50%, I95 = "Minor", 30%, I95 = "Negligible", 5%)</f>
        <v>0.5</v>
      </c>
      <c r="K95" s="123">
        <f t="shared" ref="K95" si="59">D94*J95</f>
        <v>25000</v>
      </c>
      <c r="L95" s="25" cm="1">
        <f t="array" ref="L95">_xlfn.IFS(H95 = "Almost Certain", 0.8, H95 = "Likely", 0.75, H95 = "Possible", 0.5, H95 = "Unlikely", 0.25, H95= "Rare", 0.1)</f>
        <v>0.75</v>
      </c>
      <c r="M95" s="95">
        <f t="shared" si="1"/>
        <v>18750</v>
      </c>
      <c r="N95" s="93">
        <f t="shared" si="54"/>
        <v>18750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6" spans="1:14" ht="16" x14ac:dyDescent="0.2">
      <c r="B96" s="617" t="s">
        <v>336</v>
      </c>
      <c r="E96" s="62" t="s">
        <v>937</v>
      </c>
      <c r="F96" s="25" t="s">
        <v>1505</v>
      </c>
      <c r="G96" s="277">
        <v>30</v>
      </c>
      <c r="H96" s="4" t="s">
        <v>850</v>
      </c>
      <c r="I96" s="15" t="s">
        <v>859</v>
      </c>
      <c r="J96" s="60" cm="1">
        <f t="array" ref="J96">_xlfn.IFS(I96 = "Catastrophic", 90%, I96 = "Major", 70%, I96 = "Moderate", 50%, I96 = "Minor", 30%, I96 = "Negligible", 5%)</f>
        <v>0.5</v>
      </c>
      <c r="K96" s="123">
        <f t="shared" ref="K96" si="60">D94*J96</f>
        <v>25000</v>
      </c>
      <c r="L96" s="25" cm="1">
        <f t="array" ref="L96">_xlfn.IFS(H96 = "Almost Certain", 0.8, H96 = "Likely", 0.75, H96 = "Possible", 0.5, H96 = "Unlikely", 0.25, H96= "Rare", 0.1)</f>
        <v>0.75</v>
      </c>
      <c r="M96" s="95">
        <f t="shared" si="1"/>
        <v>18750</v>
      </c>
      <c r="N96" s="93">
        <f t="shared" si="54"/>
        <v>18750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7" spans="1:14" ht="16" x14ac:dyDescent="0.2">
      <c r="B97" s="617" t="s">
        <v>273</v>
      </c>
      <c r="C97" s="675" t="s">
        <v>274</v>
      </c>
      <c r="D97" s="660">
        <v>120000</v>
      </c>
      <c r="E97" s="63" t="s">
        <v>904</v>
      </c>
      <c r="F97" s="25" t="s">
        <v>859</v>
      </c>
      <c r="G97" s="277">
        <v>15</v>
      </c>
      <c r="H97" s="4" t="s">
        <v>850</v>
      </c>
      <c r="I97" s="15" t="s">
        <v>840</v>
      </c>
      <c r="J97" s="60" cm="1">
        <f t="array" ref="J97">_xlfn.IFS(I97 = "Catastrophic", 90%, I97 = "Major", 70%, I97 = "Moderate", 50%, I97 = "Minor", 30%, I97 = "Negligible", 5%)</f>
        <v>0.7</v>
      </c>
      <c r="K97" s="123">
        <f t="shared" si="0"/>
        <v>84000</v>
      </c>
      <c r="L97" s="25" cm="1">
        <f t="array" ref="L97">_xlfn.IFS(H97 = "Almost Certain", 0.8, H97 = "Likely", 0.75, H97 = "Possible", 0.5, H97 = "Unlikely", 0.25, H97= "Rare", 0.1)</f>
        <v>0.75</v>
      </c>
      <c r="M97" s="95">
        <f t="shared" si="1"/>
        <v>63000</v>
      </c>
      <c r="N97" s="93">
        <f t="shared" si="54"/>
        <v>63000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8" spans="1:14" ht="16" x14ac:dyDescent="0.2">
      <c r="B98" s="617" t="s">
        <v>353</v>
      </c>
      <c r="E98" s="62" t="s">
        <v>912</v>
      </c>
      <c r="F98" s="35" t="s">
        <v>859</v>
      </c>
      <c r="G98" s="277">
        <v>10</v>
      </c>
      <c r="H98" s="4" t="s">
        <v>838</v>
      </c>
      <c r="I98" s="15" t="s">
        <v>840</v>
      </c>
      <c r="J98" s="60" cm="1">
        <f t="array" ref="J98">_xlfn.IFS(I98 = "Catastrophic", 90%, I98 = "Major", 70%, I98 = "Moderate", 50%, I98 = "Minor", 30%, I98 = "Negligible", 5%)</f>
        <v>0.7</v>
      </c>
      <c r="K98" s="123">
        <f t="shared" ref="K98" si="61">D97*J98</f>
        <v>84000</v>
      </c>
      <c r="L98" s="25" cm="1">
        <f t="array" ref="L98">_xlfn.IFS(H98 = "Almost Certain", 0.8, H98 = "Likely", 0.75, H98 = "Possible", 0.5, H98 = "Unlikely", 0.25, H98= "Rare", 0.1)</f>
        <v>0.5</v>
      </c>
      <c r="M98" s="95">
        <f t="shared" si="1"/>
        <v>42000</v>
      </c>
      <c r="N98" s="93">
        <f t="shared" si="54"/>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9" spans="1:14" ht="16" x14ac:dyDescent="0.2">
      <c r="B99" s="617" t="s">
        <v>360</v>
      </c>
      <c r="E99" s="63" t="s">
        <v>1140</v>
      </c>
      <c r="F99" s="25" t="s">
        <v>859</v>
      </c>
      <c r="G99" s="277">
        <v>30</v>
      </c>
      <c r="H99" s="25" t="s">
        <v>838</v>
      </c>
      <c r="I99" s="15" t="s">
        <v>840</v>
      </c>
      <c r="J99" s="60" cm="1">
        <f t="array" ref="J99">_xlfn.IFS(I99 = "Catastrophic", 90%, I99 = "Major", 70%, I99 = "Moderate", 50%, I99 = "Minor", 30%, I99 = "Negligible", 5%)</f>
        <v>0.7</v>
      </c>
      <c r="K99" s="123">
        <f t="shared" ref="K99" si="62">D97*J99</f>
        <v>84000</v>
      </c>
      <c r="L99" s="25" cm="1">
        <f t="array" ref="L99">_xlfn.IFS(H99 = "Almost Certain", 0.8, H99 = "Likely", 0.75, H99 = "Possible", 0.5, H99 = "Unlikely", 0.25, H99= "Rare", 0.1)</f>
        <v>0.5</v>
      </c>
      <c r="M99" s="95">
        <f t="shared" si="1"/>
        <v>42000</v>
      </c>
      <c r="N99" s="93">
        <f t="shared" si="54"/>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0" spans="1:14" ht="16" x14ac:dyDescent="0.2">
      <c r="B100" s="617" t="s">
        <v>281</v>
      </c>
      <c r="C100" s="675" t="s">
        <v>282</v>
      </c>
      <c r="D100" s="660">
        <v>90000</v>
      </c>
      <c r="E100" s="62" t="s">
        <v>937</v>
      </c>
      <c r="F100" s="25" t="s">
        <v>1505</v>
      </c>
      <c r="G100" s="277">
        <v>30</v>
      </c>
      <c r="H100" s="4" t="s">
        <v>850</v>
      </c>
      <c r="I100" s="15" t="s">
        <v>859</v>
      </c>
      <c r="J100" s="60" cm="1">
        <f t="array" ref="J100">_xlfn.IFS(I100 = "Catastrophic", 90%, I100 = "Major", 70%, I100 = "Moderate", 50%, I100 = "Minor", 30%, I100 = "Negligible", 5%)</f>
        <v>0.5</v>
      </c>
      <c r="K100" s="123">
        <f t="shared" si="0"/>
        <v>45000</v>
      </c>
      <c r="L100" s="25" cm="1">
        <f t="array" ref="L100">_xlfn.IFS(H100 = "Almost Certain", 0.8, H100 = "Likely", 0.75, H100 = "Possible", 0.5, H100 = "Unlikely", 0.25, H100= "Rare", 0.1)</f>
        <v>0.75</v>
      </c>
      <c r="M100" s="95">
        <f t="shared" si="1"/>
        <v>33750</v>
      </c>
      <c r="N100" s="93">
        <f t="shared" si="54"/>
        <v>33750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1" spans="1:14" ht="16" x14ac:dyDescent="0.2">
      <c r="B101" s="617" t="s">
        <v>375</v>
      </c>
      <c r="E101" s="63" t="s">
        <v>1146</v>
      </c>
      <c r="F101" s="35" t="s">
        <v>859</v>
      </c>
      <c r="G101" s="277">
        <v>15</v>
      </c>
      <c r="H101" s="4" t="s">
        <v>850</v>
      </c>
      <c r="I101" s="15" t="s">
        <v>840</v>
      </c>
      <c r="J101" s="60" cm="1">
        <f t="array" ref="J101">_xlfn.IFS(I101 = "Catastrophic", 90%, I101 = "Major", 70%, I101 = "Moderate", 50%, I101 = "Minor", 30%, I101 = "Negligible", 5%)</f>
        <v>0.7</v>
      </c>
      <c r="K101" s="123">
        <f t="shared" ref="K101" si="63">D100*J101</f>
        <v>62999.999999999993</v>
      </c>
      <c r="L101" s="25" cm="1">
        <f t="array" ref="L101">_xlfn.IFS(H101 = "Almost Certain", 0.8, H101 = "Likely", 0.75, H101 = "Possible", 0.5, H101 = "Unlikely", 0.25, H101= "Rare", 0.1)</f>
        <v>0.75</v>
      </c>
      <c r="M101" s="95">
        <f t="shared" si="1"/>
        <v>47249.999999999993</v>
      </c>
      <c r="N101" s="93">
        <f t="shared" si="54"/>
        <v>47249.999999999993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2" spans="1:14" ht="16" x14ac:dyDescent="0.2">
      <c r="B102" s="617" t="s">
        <v>383</v>
      </c>
      <c r="E102" s="63" t="s">
        <v>1160</v>
      </c>
      <c r="F102" s="25" t="s">
        <v>859</v>
      </c>
      <c r="G102" s="277">
        <v>5</v>
      </c>
      <c r="H102" s="4" t="s">
        <v>850</v>
      </c>
      <c r="I102" s="15" t="s">
        <v>859</v>
      </c>
      <c r="J102" s="60" cm="1">
        <f t="array" ref="J102">_xlfn.IFS(I102 = "Catastrophic", 90%, I102 = "Major", 70%, I102 = "Moderate", 50%, I102 = "Minor", 30%, I102 = "Negligible", 5%)</f>
        <v>0.5</v>
      </c>
      <c r="K102" s="123">
        <f t="shared" ref="K102" si="64">D100*J102</f>
        <v>45000</v>
      </c>
      <c r="L102" s="25" cm="1">
        <f t="array" ref="L102">_xlfn.IFS(H102 = "Almost Certain", 0.8, H102 = "Likely", 0.75, H102 = "Possible", 0.5, H102 = "Unlikely", 0.25, H102= "Rare", 0.1)</f>
        <v>0.75</v>
      </c>
      <c r="M102" s="95">
        <f t="shared" si="1"/>
        <v>33750</v>
      </c>
      <c r="N102" s="93">
        <f>M102</f>
        <v>33750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3" spans="1:14" ht="16" x14ac:dyDescent="0.2">
      <c r="B103" s="617" t="s">
        <v>291</v>
      </c>
      <c r="C103" s="675" t="s">
        <v>292</v>
      </c>
      <c r="D103" s="660">
        <v>100000</v>
      </c>
      <c r="E103" s="62" t="s">
        <v>937</v>
      </c>
      <c r="F103" s="25" t="s">
        <v>1505</v>
      </c>
      <c r="G103" s="277">
        <v>30</v>
      </c>
      <c r="H103" s="4" t="s">
        <v>850</v>
      </c>
      <c r="I103" s="15" t="s">
        <v>840</v>
      </c>
      <c r="J103" s="60" cm="1">
        <f t="array" ref="J103">_xlfn.IFS(I103 = "Catastrophic", 90%, I103 = "Major", 70%, I103 = "Moderate", 50%, I103 = "Minor", 30%, I103 = "Negligible", 5%)</f>
        <v>0.7</v>
      </c>
      <c r="K103" s="123">
        <f t="shared" si="0"/>
        <v>70000</v>
      </c>
      <c r="L103" s="25" cm="1">
        <f t="array" ref="L103">_xlfn.IFS(H103 = "Almost Certain", 0.8, H103 = "Likely", 0.75, H103 = "Possible", 0.5, H103 = "Unlikely", 0.25, H103= "Rare", 0.1)</f>
        <v>0.75</v>
      </c>
      <c r="M103" s="95">
        <f t="shared" si="1"/>
        <v>52500</v>
      </c>
      <c r="N103" s="93">
        <f t="shared" si="54"/>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4" spans="1:14" ht="16" x14ac:dyDescent="0.2">
      <c r="B104" s="617" t="s">
        <v>398</v>
      </c>
      <c r="E104" s="63" t="s">
        <v>981</v>
      </c>
      <c r="F104" s="35" t="s">
        <v>1505</v>
      </c>
      <c r="G104" s="277">
        <v>20</v>
      </c>
      <c r="H104" s="4" t="s">
        <v>850</v>
      </c>
      <c r="I104" s="15" t="s">
        <v>859</v>
      </c>
      <c r="J104" s="60" cm="1">
        <f t="array" ref="J104">_xlfn.IFS(I104 = "Catastrophic", 90%, I104 = "Major", 70%, I104 = "Moderate", 50%, I104 = "Minor", 30%, I104 = "Negligible", 5%)</f>
        <v>0.5</v>
      </c>
      <c r="K104" s="123">
        <f t="shared" ref="K104" si="65">D103*J104</f>
        <v>50000</v>
      </c>
      <c r="L104" s="25" cm="1">
        <f t="array" ref="L104">_xlfn.IFS(H104 = "Almost Certain", 0.8, H104 = "Likely", 0.75, H104 = "Possible", 0.5, H104 = "Unlikely", 0.25, H104= "Rare", 0.1)</f>
        <v>0.75</v>
      </c>
      <c r="M104" s="95">
        <f t="shared" ref="M104:M180" si="66">K104*L104</f>
        <v>37500</v>
      </c>
      <c r="N104" s="93">
        <f t="shared" si="54"/>
        <v>37500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5" spans="1:14" ht="16" x14ac:dyDescent="0.2">
      <c r="B105" s="617" t="s">
        <v>407</v>
      </c>
      <c r="E105" s="62" t="s">
        <v>1122</v>
      </c>
      <c r="F105" s="35" t="s">
        <v>859</v>
      </c>
      <c r="G105" s="277">
        <v>10</v>
      </c>
      <c r="H105" s="4" t="s">
        <v>838</v>
      </c>
      <c r="I105" s="15" t="s">
        <v>859</v>
      </c>
      <c r="J105" s="60" cm="1">
        <f t="array" ref="J105">_xlfn.IFS(I105 = "Catastrophic", 90%, I105 = "Major", 70%, I105 = "Moderate", 50%, I105 = "Minor", 30%, I105 = "Negligible", 5%)</f>
        <v>0.5</v>
      </c>
      <c r="K105" s="123">
        <f t="shared" ref="K105" si="67">D103*J105</f>
        <v>50000</v>
      </c>
      <c r="L105" s="25" cm="1">
        <f t="array" ref="L105">_xlfn.IFS(H105 = "Almost Certain", 0.8, H105 = "Likely", 0.75, H105 = "Possible", 0.5, H105 = "Unlikely", 0.25, H105= "Rare", 0.1)</f>
        <v>0.5</v>
      </c>
      <c r="M105" s="95">
        <f t="shared" si="66"/>
        <v>25000</v>
      </c>
      <c r="N105" s="93">
        <f t="shared" si="54"/>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6" spans="1:14" ht="16" x14ac:dyDescent="0.2">
      <c r="B106" s="617" t="s">
        <v>299</v>
      </c>
      <c r="C106" s="675" t="s">
        <v>300</v>
      </c>
      <c r="D106" s="660">
        <v>80000</v>
      </c>
      <c r="E106" s="62" t="s">
        <v>937</v>
      </c>
      <c r="F106" s="25" t="s">
        <v>1505</v>
      </c>
      <c r="G106" s="277">
        <v>30</v>
      </c>
      <c r="H106" s="4" t="s">
        <v>850</v>
      </c>
      <c r="I106" s="15" t="s">
        <v>840</v>
      </c>
      <c r="J106" s="60" cm="1">
        <f t="array" ref="J106">_xlfn.IFS(I106 = "Catastrophic", 90%, I106 = "Major", 70%, I106 = "Moderate", 50%, I106 = "Minor", 30%, I106 = "Negligible", 5%)</f>
        <v>0.7</v>
      </c>
      <c r="K106" s="123">
        <f t="shared" ref="K106:K112" si="68">D106*J106</f>
        <v>56000</v>
      </c>
      <c r="L106" s="25" cm="1">
        <f t="array" ref="L106">_xlfn.IFS(H106 = "Almost Certain", 0.8, H106 = "Likely", 0.75, H106 = "Possible", 0.5, H106 = "Unlikely", 0.25, H106= "Rare", 0.1)</f>
        <v>0.75</v>
      </c>
      <c r="M106" s="95">
        <f t="shared" si="66"/>
        <v>42000</v>
      </c>
      <c r="N106" s="93">
        <f t="shared" si="54"/>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7" spans="1:14" ht="16" x14ac:dyDescent="0.2">
      <c r="B107" s="617" t="s">
        <v>419</v>
      </c>
      <c r="E107" s="63" t="s">
        <v>1146</v>
      </c>
      <c r="F107" s="25" t="s">
        <v>859</v>
      </c>
      <c r="G107" s="277">
        <v>15</v>
      </c>
      <c r="H107" s="4" t="s">
        <v>850</v>
      </c>
      <c r="I107" s="15" t="s">
        <v>840</v>
      </c>
      <c r="J107" s="60" cm="1">
        <f t="array" ref="J107">_xlfn.IFS(I107 = "Catastrophic", 90%, I107 = "Major", 70%, I107 = "Moderate", 50%, I107 = "Minor", 30%, I107 = "Negligible", 5%)</f>
        <v>0.7</v>
      </c>
      <c r="K107" s="123">
        <f t="shared" ref="K107" si="69">D106*J107</f>
        <v>56000</v>
      </c>
      <c r="L107" s="25" cm="1">
        <f t="array" ref="L107">_xlfn.IFS(H107 = "Almost Certain", 0.8, H107 = "Likely", 0.75, H107 = "Possible", 0.5, H107 = "Unlikely", 0.25, H107= "Rare", 0.1)</f>
        <v>0.75</v>
      </c>
      <c r="M107" s="95">
        <f t="shared" si="66"/>
        <v>42000</v>
      </c>
      <c r="N107" s="93">
        <f t="shared" si="54"/>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8" spans="1:14" ht="16" x14ac:dyDescent="0.2">
      <c r="B108" s="617" t="s">
        <v>427</v>
      </c>
      <c r="E108" s="62" t="s">
        <v>912</v>
      </c>
      <c r="F108" s="35" t="s">
        <v>859</v>
      </c>
      <c r="G108" s="277">
        <v>10</v>
      </c>
      <c r="H108" s="4" t="s">
        <v>838</v>
      </c>
      <c r="I108" s="15" t="s">
        <v>840</v>
      </c>
      <c r="J108" s="60" cm="1">
        <f t="array" ref="J108">_xlfn.IFS(I108 = "Catastrophic", 90%, I108 = "Major", 70%, I108 = "Moderate", 50%, I108 = "Minor", 30%, I108 = "Negligible", 5%)</f>
        <v>0.7</v>
      </c>
      <c r="K108" s="123">
        <f t="shared" ref="K108" si="70">D106*J108</f>
        <v>56000</v>
      </c>
      <c r="L108" s="25" cm="1">
        <f t="array" ref="L108">_xlfn.IFS(H108 = "Almost Certain", 0.8, H108 = "Likely", 0.75, H108 = "Possible", 0.5, H108 = "Unlikely", 0.25, H108= "Rare", 0.1)</f>
        <v>0.5</v>
      </c>
      <c r="M108" s="95">
        <f t="shared" si="66"/>
        <v>28000</v>
      </c>
      <c r="N108" s="93">
        <f t="shared" si="54"/>
        <v>28000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9" spans="1:14" ht="16" x14ac:dyDescent="0.2">
      <c r="B109" s="617" t="s">
        <v>309</v>
      </c>
      <c r="C109" s="667" t="s">
        <v>310</v>
      </c>
      <c r="D109" s="660">
        <v>120000</v>
      </c>
      <c r="E109" s="63" t="s">
        <v>904</v>
      </c>
      <c r="F109" s="25" t="s">
        <v>859</v>
      </c>
      <c r="G109" s="277">
        <v>15</v>
      </c>
      <c r="H109" s="4" t="s">
        <v>850</v>
      </c>
      <c r="I109" s="15" t="s">
        <v>859</v>
      </c>
      <c r="J109" s="60" cm="1">
        <f t="array" ref="J109">_xlfn.IFS(I109 = "Catastrophic", 90%, I109 = "Major", 70%, I109 = "Moderate", 50%, I109 = "Minor", 30%, I109 = "Negligible", 5%)</f>
        <v>0.5</v>
      </c>
      <c r="K109" s="123">
        <f t="shared" si="68"/>
        <v>60000</v>
      </c>
      <c r="L109" s="25" cm="1">
        <f t="array" ref="L109">_xlfn.IFS(H109 = "Almost Certain", 0.8, H109 = "Likely", 0.75, H109 = "Possible", 0.5, H109 = "Unlikely", 0.25, H109= "Rare", 0.1)</f>
        <v>0.75</v>
      </c>
      <c r="M109" s="95">
        <f t="shared" si="66"/>
        <v>45000</v>
      </c>
      <c r="N109" s="93">
        <f t="shared" si="54"/>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0" spans="1:14" ht="16" x14ac:dyDescent="0.2">
      <c r="B110" s="617" t="s">
        <v>443</v>
      </c>
      <c r="E110" s="63" t="s">
        <v>981</v>
      </c>
      <c r="F110" s="35" t="s">
        <v>1505</v>
      </c>
      <c r="G110" s="277">
        <v>20</v>
      </c>
      <c r="H110" s="4" t="s">
        <v>850</v>
      </c>
      <c r="I110" s="15" t="s">
        <v>859</v>
      </c>
      <c r="J110" s="60" cm="1">
        <f t="array" ref="J110">_xlfn.IFS(I110 = "Catastrophic", 90%, I110 = "Major", 70%, I110 = "Moderate", 50%, I110 = "Minor", 30%, I110 = "Negligible", 5%)</f>
        <v>0.5</v>
      </c>
      <c r="K110" s="123">
        <f t="shared" ref="K110" si="71">D109*J110</f>
        <v>60000</v>
      </c>
      <c r="L110" s="25" cm="1">
        <f t="array" ref="L110">_xlfn.IFS(H110 = "Almost Certain", 0.8, H110 = "Likely", 0.75, H110 = "Possible", 0.5, H110 = "Unlikely", 0.25, H110= "Rare", 0.1)</f>
        <v>0.75</v>
      </c>
      <c r="M110" s="95">
        <f t="shared" si="66"/>
        <v>45000</v>
      </c>
      <c r="N110" s="93">
        <f t="shared" si="54"/>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1" spans="1:14" ht="16" x14ac:dyDescent="0.2">
      <c r="B111" s="617" t="s">
        <v>451</v>
      </c>
      <c r="E111" s="63" t="s">
        <v>1026</v>
      </c>
      <c r="F111" s="25" t="s">
        <v>859</v>
      </c>
      <c r="G111" s="277">
        <v>5</v>
      </c>
      <c r="H111" s="4" t="s">
        <v>850</v>
      </c>
      <c r="I111" s="15" t="s">
        <v>859</v>
      </c>
      <c r="J111" s="60" cm="1">
        <f t="array" ref="J111">_xlfn.IFS(I111 = "Catastrophic", 90%, I111 = "Major", 70%, I111 = "Moderate", 50%, I111 = "Minor", 30%, I111 = "Negligible", 5%)</f>
        <v>0.5</v>
      </c>
      <c r="K111" s="123">
        <f t="shared" ref="K111" si="72">D109*J111</f>
        <v>60000</v>
      </c>
      <c r="L111" s="25" cm="1">
        <f t="array" ref="L111">_xlfn.IFS(H111 = "Almost Certain", 0.8, H111 = "Likely", 0.75, H111 = "Possible", 0.5, H111 = "Unlikely", 0.25, H111= "Rare", 0.1)</f>
        <v>0.75</v>
      </c>
      <c r="M111" s="95">
        <f t="shared" si="66"/>
        <v>45000</v>
      </c>
      <c r="N111" s="93">
        <f t="shared" si="54"/>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2" spans="1:14" ht="16" x14ac:dyDescent="0.2">
      <c r="B112" s="617" t="s">
        <v>317</v>
      </c>
      <c r="C112" s="667" t="s">
        <v>318</v>
      </c>
      <c r="D112" s="670">
        <v>100000</v>
      </c>
      <c r="E112" s="62" t="s">
        <v>937</v>
      </c>
      <c r="F112" s="25" t="s">
        <v>1505</v>
      </c>
      <c r="G112" s="277">
        <v>30</v>
      </c>
      <c r="H112" s="4" t="s">
        <v>850</v>
      </c>
      <c r="I112" s="15" t="s">
        <v>859</v>
      </c>
      <c r="J112" s="60" cm="1">
        <f t="array" ref="J112">_xlfn.IFS(I112 = "Catastrophic", 90%, I112 = "Major", 70%, I112 = "Moderate", 50%, I112 = "Minor", 30%, I112 = "Negligible", 5%)</f>
        <v>0.5</v>
      </c>
      <c r="K112" s="123">
        <f t="shared" si="68"/>
        <v>50000</v>
      </c>
      <c r="L112" s="25" cm="1">
        <f t="array" ref="L112">_xlfn.IFS(H112 = "Almost Certain", 0.8, H112 = "Likely", 0.75, H112 = "Possible", 0.5, H112 = "Unlikely", 0.25, H112= "Rare", 0.1)</f>
        <v>0.75</v>
      </c>
      <c r="M112" s="95">
        <f t="shared" si="66"/>
        <v>37500</v>
      </c>
      <c r="N112" s="93">
        <f>M112</f>
        <v>37500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3" spans="1:14" ht="16" x14ac:dyDescent="0.2">
      <c r="B113" s="617" t="s">
        <v>468</v>
      </c>
      <c r="E113" s="62" t="s">
        <v>912</v>
      </c>
      <c r="F113" s="35" t="s">
        <v>859</v>
      </c>
      <c r="G113" s="277">
        <v>10</v>
      </c>
      <c r="H113" s="4" t="s">
        <v>838</v>
      </c>
      <c r="I113" s="15" t="s">
        <v>859</v>
      </c>
      <c r="J113" s="60" cm="1">
        <f t="array" ref="J113">_xlfn.IFS(I113 = "Catastrophic", 90%, I113 = "Major", 70%, I113 = "Moderate", 50%, I113 = "Minor", 30%, I113 = "Negligible", 5%)</f>
        <v>0.5</v>
      </c>
      <c r="K113" s="123">
        <f t="shared" ref="K113" si="73">D112*J113</f>
        <v>50000</v>
      </c>
      <c r="L113" s="25" cm="1">
        <f t="array" ref="L113">_xlfn.IFS(H113 = "Almost Certain", 0.8, H113 = "Likely", 0.75, H113 = "Possible", 0.5, H113 = "Unlikely", 0.25, H113= "Rare", 0.1)</f>
        <v>0.5</v>
      </c>
      <c r="M113" s="95">
        <f t="shared" si="66"/>
        <v>25000</v>
      </c>
      <c r="N113" s="93">
        <f t="shared" si="54"/>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4" spans="1:14" ht="16" x14ac:dyDescent="0.2">
      <c r="B114" s="617" t="s">
        <v>475</v>
      </c>
      <c r="E114" s="63" t="s">
        <v>1146</v>
      </c>
      <c r="F114" s="25" t="s">
        <v>859</v>
      </c>
      <c r="G114" s="277">
        <v>15</v>
      </c>
      <c r="H114" s="4" t="s">
        <v>850</v>
      </c>
      <c r="I114" s="15" t="s">
        <v>859</v>
      </c>
      <c r="J114" s="60" cm="1">
        <f t="array" ref="J114">_xlfn.IFS(I114 = "Catastrophic", 90%, I114 = "Major", 70%, I114 = "Moderate", 50%, I114 = "Minor", 30%, I114 = "Negligible", 5%)</f>
        <v>0.5</v>
      </c>
      <c r="K114" s="123">
        <f t="shared" ref="K114" si="74">D112*J114</f>
        <v>50000</v>
      </c>
      <c r="L114" s="25" cm="1">
        <f t="array" ref="L114">_xlfn.IFS(H114 = "Almost Certain", 0.8, H114 = "Likely", 0.75, H114 = "Possible", 0.5, H114 = "Unlikely", 0.25, H114= "Rare", 0.1)</f>
        <v>0.75</v>
      </c>
      <c r="M114" s="95">
        <f t="shared" si="66"/>
        <v>37500</v>
      </c>
      <c r="N114" s="93">
        <f t="shared" si="54"/>
        <v>37500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6" spans="1:14" ht="16" x14ac:dyDescent="0.2">
      <c r="A116" s="673" t="s">
        <v>325</v>
      </c>
      <c r="B116" s="668" t="s">
        <v>328</v>
      </c>
      <c r="C116" s="676" t="s">
        <v>329</v>
      </c>
      <c r="D116" s="663">
        <v>200000</v>
      </c>
      <c r="E116" s="37" t="s">
        <v>1186</v>
      </c>
      <c r="F116" s="69" t="s">
        <v>859</v>
      </c>
      <c r="G116" s="283">
        <v>5</v>
      </c>
      <c r="H116" s="38" t="s">
        <v>850</v>
      </c>
      <c r="I116" s="39" t="s">
        <v>840</v>
      </c>
      <c r="J116" s="60" cm="1">
        <f t="array" ref="J116">_xlfn.IFS(I116 = "Catastrophic", 90%, I116 = "Major", 70%, I116 = "Moderate", 50%, I116 = "Minor", 30%, I116 = "Negligible", 5%)</f>
        <v>0.7</v>
      </c>
      <c r="K116" s="123">
        <f>J116*D116</f>
        <v>140000</v>
      </c>
      <c r="L116" s="25" cm="1">
        <f t="array" ref="L116">_xlfn.IFS(H116 = "Almost Certain", 0.8, H116 = "Likely", 0.75, H116 = "Possible", 0.5, H116 = "Unlikely", 0.25, H116= "Rare", 0.1)</f>
        <v>0.75</v>
      </c>
      <c r="M116" s="95">
        <f t="shared" ref="M116:M149" si="75">K116*L116</f>
        <v>105000</v>
      </c>
      <c r="N116" s="95">
        <f t="shared" ref="N116:N149" si="76">M116</f>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7" spans="1:14" ht="16" x14ac:dyDescent="0.2">
      <c r="E117" s="37" t="s">
        <v>1189</v>
      </c>
      <c r="F117" s="69" t="s">
        <v>1507</v>
      </c>
      <c r="G117" s="283">
        <v>3</v>
      </c>
      <c r="H117" s="40" t="s">
        <v>838</v>
      </c>
      <c r="I117" s="41" t="s">
        <v>859</v>
      </c>
      <c r="J117" s="60" cm="1">
        <f t="array" ref="J117">_xlfn.IFS(I117 = "Catastrophic", 90%, I117 = "Major", 70%, I117 = "Moderate", 50%, I117 = "Minor", 30%, I117 = "Negligible", 5%)</f>
        <v>0.5</v>
      </c>
      <c r="K117" s="123">
        <f>J116*D116</f>
        <v>140000</v>
      </c>
      <c r="L117" s="25" cm="1">
        <f t="array" ref="L117">_xlfn.IFS(H117 = "Almost Certain", 0.8, H117 = "Likely", 0.75, H117 = "Possible", 0.5, H117 = "Unlikely", 0.25, H117= "Rare", 0.1)</f>
        <v>0.5</v>
      </c>
      <c r="M117" s="95">
        <f t="shared" si="75"/>
        <v>70000</v>
      </c>
      <c r="N117" s="95">
        <f t="shared" si="76"/>
        <v>70000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8" spans="1:14" ht="16" x14ac:dyDescent="0.2">
      <c r="B118" s="668" t="s">
        <v>336</v>
      </c>
      <c r="C118" s="669" t="s">
        <v>337</v>
      </c>
      <c r="D118" s="663">
        <v>150000</v>
      </c>
      <c r="E118" s="37" t="s">
        <v>1192</v>
      </c>
      <c r="F118" s="69" t="s">
        <v>859</v>
      </c>
      <c r="G118" s="283">
        <v>4</v>
      </c>
      <c r="H118" s="40" t="s">
        <v>838</v>
      </c>
      <c r="I118" s="41" t="s">
        <v>840</v>
      </c>
      <c r="J118" s="60" cm="1">
        <f t="array" ref="J118">_xlfn.IFS(I118 = "Catastrophic", 90%, I118 = "Major", 70%, I118 = "Moderate", 50%, I118 = "Minor", 30%, I118 = "Negligible", 5%)</f>
        <v>0.7</v>
      </c>
      <c r="K118" s="123">
        <f t="shared" ref="K118" si="77">J118*D118</f>
        <v>105000</v>
      </c>
      <c r="L118" s="25" cm="1">
        <f t="array" ref="L118">_xlfn.IFS(H118 = "Almost Certain", 0.8, H118 = "Likely", 0.75, H118 = "Possible", 0.5, H118 = "Unlikely", 0.25, H118= "Rare", 0.1)</f>
        <v>0.5</v>
      </c>
      <c r="M118" s="95">
        <f t="shared" si="75"/>
        <v>52500</v>
      </c>
      <c r="N118" s="95">
        <f t="shared" si="76"/>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9" spans="1:14" ht="16" x14ac:dyDescent="0.2">
      <c r="E119" s="37" t="s">
        <v>1195</v>
      </c>
      <c r="F119" s="69" t="s">
        <v>859</v>
      </c>
      <c r="G119" s="283">
        <v>5</v>
      </c>
      <c r="H119" s="40" t="s">
        <v>838</v>
      </c>
      <c r="I119" s="41" t="s">
        <v>840</v>
      </c>
      <c r="J119" s="60" cm="1">
        <f t="array" ref="J119">_xlfn.IFS(I119 = "Catastrophic", 90%, I119 = "Major", 70%, I119 = "Moderate", 50%, I119 = "Minor", 30%, I119 = "Negligible", 5%)</f>
        <v>0.7</v>
      </c>
      <c r="K119" s="123">
        <f t="shared" ref="K119" si="78">J118*D118</f>
        <v>105000</v>
      </c>
      <c r="L119" s="25" cm="1">
        <f t="array" ref="L119">_xlfn.IFS(H119 = "Almost Certain", 0.8, H119 = "Likely", 0.75, H119 = "Possible", 0.5, H119 = "Unlikely", 0.25, H119= "Rare", 0.1)</f>
        <v>0.5</v>
      </c>
      <c r="M119" s="95">
        <f t="shared" si="75"/>
        <v>52500</v>
      </c>
      <c r="N119" s="95">
        <f t="shared" si="76"/>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0" spans="1:14" ht="16" x14ac:dyDescent="0.2">
      <c r="B120" s="668" t="s">
        <v>343</v>
      </c>
      <c r="C120" s="669" t="s">
        <v>344</v>
      </c>
      <c r="D120" s="663">
        <v>300000</v>
      </c>
      <c r="E120" s="37" t="s">
        <v>1197</v>
      </c>
      <c r="F120" s="69" t="s">
        <v>1505</v>
      </c>
      <c r="G120" s="283">
        <v>10</v>
      </c>
      <c r="H120" s="40" t="s">
        <v>838</v>
      </c>
      <c r="I120" s="41" t="s">
        <v>840</v>
      </c>
      <c r="J120" s="60" cm="1">
        <f t="array" ref="J120">_xlfn.IFS(I120 = "Catastrophic", 90%, I120 = "Major", 70%, I120 = "Moderate", 50%, I120 = "Minor", 30%, I120 = "Negligible", 5%)</f>
        <v>0.7</v>
      </c>
      <c r="K120" s="123">
        <f t="shared" ref="K120" si="79">J120*D120</f>
        <v>210000</v>
      </c>
      <c r="L120" s="25" cm="1">
        <f t="array" ref="L120">_xlfn.IFS(H120 = "Almost Certain", 0.8, H120 = "Likely", 0.75, H120 = "Possible", 0.5, H120 = "Unlikely", 0.25, H120= "Rare", 0.1)</f>
        <v>0.5</v>
      </c>
      <c r="M120" s="95">
        <f t="shared" si="75"/>
        <v>105000</v>
      </c>
      <c r="N120" s="95">
        <f t="shared" si="76"/>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1" spans="1:14" ht="16" x14ac:dyDescent="0.2">
      <c r="E121" s="37" t="s">
        <v>1201</v>
      </c>
      <c r="F121" s="69" t="s">
        <v>859</v>
      </c>
      <c r="G121" s="283">
        <v>7</v>
      </c>
      <c r="H121" s="40" t="s">
        <v>838</v>
      </c>
      <c r="I121" s="41" t="s">
        <v>840</v>
      </c>
      <c r="J121" s="60" cm="1">
        <f t="array" ref="J121">_xlfn.IFS(I121 = "Catastrophic", 90%, I121 = "Major", 70%, I121 = "Moderate", 50%, I121 = "Minor", 30%, I121 = "Negligible", 5%)</f>
        <v>0.7</v>
      </c>
      <c r="K121" s="123">
        <f t="shared" ref="K121" si="80">J120*D120</f>
        <v>210000</v>
      </c>
      <c r="L121" s="25" cm="1">
        <f t="array" ref="L121">_xlfn.IFS(H121 = "Almost Certain", 0.8, H121 = "Likely", 0.75, H121 = "Possible", 0.5, H121 = "Unlikely", 0.25, H121= "Rare", 0.1)</f>
        <v>0.5</v>
      </c>
      <c r="M121" s="95">
        <f t="shared" si="75"/>
        <v>105000</v>
      </c>
      <c r="N121" s="95">
        <f t="shared" si="76"/>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2" spans="1:14" ht="16" x14ac:dyDescent="0.2">
      <c r="B122" s="668" t="s">
        <v>353</v>
      </c>
      <c r="C122" s="669" t="s">
        <v>354</v>
      </c>
      <c r="D122" s="663">
        <v>250000</v>
      </c>
      <c r="E122" s="37" t="s">
        <v>1203</v>
      </c>
      <c r="F122" s="69" t="s">
        <v>859</v>
      </c>
      <c r="G122" s="283">
        <v>6</v>
      </c>
      <c r="H122" s="40" t="s">
        <v>838</v>
      </c>
      <c r="I122" s="41" t="s">
        <v>840</v>
      </c>
      <c r="J122" s="60" cm="1">
        <f t="array" ref="J122">_xlfn.IFS(I122 = "Catastrophic", 90%, I122 = "Major", 70%, I122 = "Moderate", 50%, I122 = "Minor", 30%, I122 = "Negligible", 5%)</f>
        <v>0.7</v>
      </c>
      <c r="K122" s="123">
        <f t="shared" ref="K122" si="81">J122*D122</f>
        <v>175000</v>
      </c>
      <c r="L122" s="25" cm="1">
        <f t="array" ref="L122">_xlfn.IFS(H122 = "Almost Certain", 0.8, H122 = "Likely", 0.75, H122 = "Possible", 0.5, H122 = "Unlikely", 0.25, H122= "Rare", 0.1)</f>
        <v>0.5</v>
      </c>
      <c r="M122" s="95">
        <f t="shared" si="75"/>
        <v>87500</v>
      </c>
      <c r="N122" s="95">
        <f t="shared" si="76"/>
        <v>87500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3" spans="1:14" ht="16" x14ac:dyDescent="0.2">
      <c r="E123" s="37" t="s">
        <v>1205</v>
      </c>
      <c r="F123" s="69" t="s">
        <v>859</v>
      </c>
      <c r="G123" s="283">
        <v>5</v>
      </c>
      <c r="H123" s="40" t="s">
        <v>838</v>
      </c>
      <c r="I123" s="41" t="s">
        <v>859</v>
      </c>
      <c r="J123" s="60" cm="1">
        <f t="array" ref="J123">_xlfn.IFS(I123 = "Catastrophic", 90%, I123 = "Major", 70%, I123 = "Moderate", 50%, I123 = "Minor", 30%, I123 = "Negligible", 5%)</f>
        <v>0.5</v>
      </c>
      <c r="K123" s="123">
        <f t="shared" ref="K123" si="82">J122*D122</f>
        <v>175000</v>
      </c>
      <c r="L123" s="25" cm="1">
        <f t="array" ref="L123">_xlfn.IFS(H123 = "Almost Certain", 0.8, H123 = "Likely", 0.75, H123 = "Possible", 0.5, H123 = "Unlikely", 0.25, H123= "Rare", 0.1)</f>
        <v>0.5</v>
      </c>
      <c r="M123" s="95">
        <f t="shared" si="75"/>
        <v>87500</v>
      </c>
      <c r="N123" s="95">
        <f t="shared" si="76"/>
        <v>87500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4" spans="1:14" ht="13.5" customHeight="1" x14ac:dyDescent="0.2">
      <c r="B124" s="668" t="s">
        <v>360</v>
      </c>
      <c r="C124" s="669" t="s">
        <v>361</v>
      </c>
      <c r="D124" s="663">
        <v>100000</v>
      </c>
      <c r="E124" s="37" t="s">
        <v>1192</v>
      </c>
      <c r="F124" s="69" t="s">
        <v>1507</v>
      </c>
      <c r="G124" s="283">
        <v>4</v>
      </c>
      <c r="H124" s="40" t="s">
        <v>838</v>
      </c>
      <c r="I124" s="41" t="s">
        <v>840</v>
      </c>
      <c r="J124" s="60" cm="1">
        <f t="array" ref="J124">_xlfn.IFS(I124 = "Catastrophic", 90%, I124 = "Major", 70%, I124 = "Moderate", 50%, I124 = "Minor", 30%, I124 = "Negligible", 5%)</f>
        <v>0.7</v>
      </c>
      <c r="K124" s="123">
        <f t="shared" ref="K124" si="83">J124*D124</f>
        <v>70000</v>
      </c>
      <c r="L124" s="25" cm="1">
        <f t="array" ref="L124">_xlfn.IFS(H124 = "Almost Certain", 0.8, H124 = "Likely", 0.75, H124 = "Possible", 0.5, H124 = "Unlikely", 0.25, H124= "Rare", 0.1)</f>
        <v>0.5</v>
      </c>
      <c r="M124" s="95">
        <f t="shared" si="75"/>
        <v>35000</v>
      </c>
      <c r="N124" s="95">
        <f t="shared" si="76"/>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5" spans="1:14" ht="16" x14ac:dyDescent="0.2">
      <c r="E125" s="37" t="s">
        <v>1208</v>
      </c>
      <c r="F125" s="69" t="s">
        <v>859</v>
      </c>
      <c r="G125" s="283">
        <v>6</v>
      </c>
      <c r="H125" s="40" t="s">
        <v>838</v>
      </c>
      <c r="I125" s="41" t="s">
        <v>840</v>
      </c>
      <c r="J125" s="60" cm="1">
        <f t="array" ref="J125">_xlfn.IFS(I125 = "Catastrophic", 90%, I125 = "Major", 70%, I125 = "Moderate", 50%, I125 = "Minor", 30%, I125 = "Negligible", 5%)</f>
        <v>0.7</v>
      </c>
      <c r="K125" s="123">
        <f t="shared" ref="K125" si="84">J124*D124</f>
        <v>70000</v>
      </c>
      <c r="L125" s="25" cm="1">
        <f t="array" ref="L125">_xlfn.IFS(H125 = "Almost Certain", 0.8, H125 = "Likely", 0.75, H125 = "Possible", 0.5, H125 = "Unlikely", 0.25, H125= "Rare", 0.1)</f>
        <v>0.5</v>
      </c>
      <c r="M125" s="95">
        <f t="shared" si="75"/>
        <v>35000</v>
      </c>
      <c r="N125" s="95">
        <f t="shared" si="76"/>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6" spans="1:14" ht="16" x14ac:dyDescent="0.2">
      <c r="B126" s="668" t="s">
        <v>366</v>
      </c>
      <c r="C126" s="669" t="s">
        <v>367</v>
      </c>
      <c r="D126" s="663">
        <v>500000</v>
      </c>
      <c r="E126" s="37" t="s">
        <v>1210</v>
      </c>
      <c r="F126" s="69" t="s">
        <v>1505</v>
      </c>
      <c r="G126" s="283">
        <v>12</v>
      </c>
      <c r="H126" s="40" t="s">
        <v>858</v>
      </c>
      <c r="I126" s="41" t="s">
        <v>839</v>
      </c>
      <c r="J126" s="60" cm="1">
        <f t="array" ref="J126">_xlfn.IFS(I126 = "Catastrophic", 90%, I126 = "Major", 70%, I126 = "Moderate", 50%, I126 = "Minor", 30%, I126 = "Negligible", 5%)</f>
        <v>0.9</v>
      </c>
      <c r="K126" s="123">
        <f t="shared" ref="K126" si="85">J126*D126</f>
        <v>450000</v>
      </c>
      <c r="L126" s="25" cm="1">
        <f t="array" ref="L126">_xlfn.IFS(H126 = "Almost Certain", 0.8, H126 = "Likely", 0.75, H126 = "Possible", 0.5, H126 = "Unlikely", 0.25, H126= "Rare", 0.1)</f>
        <v>0.8</v>
      </c>
      <c r="M126" s="95">
        <f t="shared" si="75"/>
        <v>360000</v>
      </c>
      <c r="N126" s="95">
        <f t="shared" si="76"/>
        <v>360000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7" spans="1:14" ht="16" x14ac:dyDescent="0.2">
      <c r="E127" s="37" t="s">
        <v>1212</v>
      </c>
      <c r="F127" s="69" t="s">
        <v>1505</v>
      </c>
      <c r="G127" s="283">
        <v>10</v>
      </c>
      <c r="H127" s="40" t="s">
        <v>850</v>
      </c>
      <c r="I127" s="41" t="s">
        <v>840</v>
      </c>
      <c r="J127" s="60" cm="1">
        <f t="array" ref="J127">_xlfn.IFS(I127 = "Catastrophic", 90%, I127 = "Major", 70%, I127 = "Moderate", 50%, I127 = "Minor", 30%, I127 = "Negligible", 5%)</f>
        <v>0.7</v>
      </c>
      <c r="K127" s="123">
        <f t="shared" ref="K127" si="86">J126*D126</f>
        <v>450000</v>
      </c>
      <c r="L127" s="25" cm="1">
        <f t="array" ref="L127">_xlfn.IFS(H127 = "Almost Certain", 0.8, H127 = "Likely", 0.75, H127 = "Possible", 0.5, H127 = "Unlikely", 0.25, H127= "Rare", 0.1)</f>
        <v>0.75</v>
      </c>
      <c r="M127" s="95">
        <f t="shared" si="75"/>
        <v>337500</v>
      </c>
      <c r="N127" s="95">
        <f t="shared" si="76"/>
        <v>337500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8" spans="1:14" ht="16" x14ac:dyDescent="0.2">
      <c r="B128" s="668" t="s">
        <v>375</v>
      </c>
      <c r="C128" s="669" t="s">
        <v>376</v>
      </c>
      <c r="D128" s="663">
        <v>400000</v>
      </c>
      <c r="E128" s="37" t="s">
        <v>1214</v>
      </c>
      <c r="F128" s="69" t="s">
        <v>859</v>
      </c>
      <c r="G128" s="283">
        <v>5</v>
      </c>
      <c r="H128" s="40" t="s">
        <v>850</v>
      </c>
      <c r="I128" s="41" t="s">
        <v>859</v>
      </c>
      <c r="J128" s="60" cm="1">
        <f t="array" ref="J128">_xlfn.IFS(I128 = "Catastrophic", 90%, I128 = "Major", 70%, I128 = "Moderate", 50%, I128 = "Minor", 30%, I128 = "Negligible", 5%)</f>
        <v>0.5</v>
      </c>
      <c r="K128" s="123">
        <f t="shared" ref="K128" si="87">J128*D128</f>
        <v>200000</v>
      </c>
      <c r="L128" s="25" cm="1">
        <f t="array" ref="L128">_xlfn.IFS(H128 = "Almost Certain", 0.8, H128 = "Likely", 0.75, H128 = "Possible", 0.5, H128 = "Unlikely", 0.25, H128= "Rare", 0.1)</f>
        <v>0.75</v>
      </c>
      <c r="M128" s="95">
        <f t="shared" si="75"/>
        <v>150000</v>
      </c>
      <c r="N128" s="95">
        <f t="shared" si="76"/>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9" spans="1:14" ht="16" x14ac:dyDescent="0.2">
      <c r="E129" s="37" t="s">
        <v>1216</v>
      </c>
      <c r="F129" s="69" t="s">
        <v>859</v>
      </c>
      <c r="G129" s="283">
        <v>6</v>
      </c>
      <c r="H129" s="40" t="s">
        <v>838</v>
      </c>
      <c r="I129" s="41" t="s">
        <v>859</v>
      </c>
      <c r="J129" s="60" cm="1">
        <f t="array" ref="J129">_xlfn.IFS(I129 = "Catastrophic", 90%, I129 = "Major", 70%, I129 = "Moderate", 50%, I129 = "Minor", 30%, I129 = "Negligible", 5%)</f>
        <v>0.5</v>
      </c>
      <c r="K129" s="123">
        <f t="shared" ref="K129" si="88">J128*D128</f>
        <v>200000</v>
      </c>
      <c r="L129" s="25" cm="1">
        <f t="array" ref="L129">_xlfn.IFS(H129 = "Almost Certain", 0.8, H129 = "Likely", 0.75, H129 = "Possible", 0.5, H129 = "Unlikely", 0.25, H129= "Rare", 0.1)</f>
        <v>0.5</v>
      </c>
      <c r="M129" s="95">
        <f t="shared" si="75"/>
        <v>100000</v>
      </c>
      <c r="N129" s="95">
        <f t="shared" si="76"/>
        <v>100000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0" spans="1:14" ht="16" x14ac:dyDescent="0.2">
      <c r="B130" s="668" t="s">
        <v>383</v>
      </c>
      <c r="C130" s="669" t="s">
        <v>384</v>
      </c>
      <c r="D130" s="663">
        <v>350000</v>
      </c>
      <c r="E130" s="37" t="s">
        <v>1218</v>
      </c>
      <c r="F130" s="69" t="s">
        <v>859</v>
      </c>
      <c r="G130" s="283">
        <v>7</v>
      </c>
      <c r="H130" s="40" t="s">
        <v>850</v>
      </c>
      <c r="I130" s="41" t="s">
        <v>840</v>
      </c>
      <c r="J130" s="60" cm="1">
        <f t="array" ref="J130">_xlfn.IFS(I130 = "Catastrophic", 90%, I130 = "Major", 70%, I130 = "Moderate", 50%, I130 = "Minor", 30%, I130 = "Negligible", 5%)</f>
        <v>0.7</v>
      </c>
      <c r="K130" s="123">
        <f t="shared" ref="K130" si="89">J130*D130</f>
        <v>244999.99999999997</v>
      </c>
      <c r="L130" s="25" cm="1">
        <f t="array" ref="L130">_xlfn.IFS(H130 = "Almost Certain", 0.8, H130 = "Likely", 0.75, H130 = "Possible", 0.5, H130 = "Unlikely", 0.25, H130= "Rare", 0.1)</f>
        <v>0.75</v>
      </c>
      <c r="M130" s="95">
        <f t="shared" si="75"/>
        <v>183749.99999999997</v>
      </c>
      <c r="N130" s="95">
        <f t="shared" si="76"/>
        <v>183749.99999999997</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1" spans="1:14" ht="16" x14ac:dyDescent="0.2">
      <c r="E131" s="37" t="s">
        <v>1220</v>
      </c>
      <c r="F131" s="69" t="s">
        <v>1505</v>
      </c>
      <c r="G131" s="283">
        <v>8</v>
      </c>
      <c r="H131" s="40" t="s">
        <v>838</v>
      </c>
      <c r="I131" s="41" t="s">
        <v>859</v>
      </c>
      <c r="J131" s="60" cm="1">
        <f t="array" ref="J131">_xlfn.IFS(I131 = "Catastrophic", 90%, I131 = "Major", 70%, I131 = "Moderate", 50%, I131 = "Minor", 30%, I131 = "Negligible", 5%)</f>
        <v>0.5</v>
      </c>
      <c r="K131" s="123">
        <f t="shared" ref="K131" si="90">J130*D130</f>
        <v>244999.99999999997</v>
      </c>
      <c r="L131" s="25" cm="1">
        <f t="array" ref="L131">_xlfn.IFS(H131 = "Almost Certain", 0.8, H131 = "Likely", 0.75, H131 = "Possible", 0.5, H131 = "Unlikely", 0.25, H131= "Rare", 0.1)</f>
        <v>0.5</v>
      </c>
      <c r="M131" s="95">
        <f t="shared" si="75"/>
        <v>122499.99999999999</v>
      </c>
      <c r="N131" s="95">
        <f t="shared" si="76"/>
        <v>122499.99999999999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2" spans="1:14" ht="16" x14ac:dyDescent="0.2">
      <c r="B132" s="668" t="s">
        <v>390</v>
      </c>
      <c r="C132" s="669" t="s">
        <v>391</v>
      </c>
      <c r="D132" s="663">
        <v>200000</v>
      </c>
      <c r="E132" s="37" t="s">
        <v>1222</v>
      </c>
      <c r="F132" s="69" t="s">
        <v>859</v>
      </c>
      <c r="G132" s="283">
        <v>5</v>
      </c>
      <c r="H132" s="40" t="s">
        <v>838</v>
      </c>
      <c r="I132" s="41" t="s">
        <v>859</v>
      </c>
      <c r="J132" s="60" cm="1">
        <f t="array" ref="J132">_xlfn.IFS(I132 = "Catastrophic", 90%, I132 = "Major", 70%, I132 = "Moderate", 50%, I132 = "Minor", 30%, I132 = "Negligible", 5%)</f>
        <v>0.5</v>
      </c>
      <c r="K132" s="123">
        <f t="shared" ref="K132" si="91">J132*D132</f>
        <v>100000</v>
      </c>
      <c r="L132" s="25" cm="1">
        <f t="array" ref="L132">_xlfn.IFS(H132 = "Almost Certain", 0.8, H132 = "Likely", 0.75, H132 = "Possible", 0.5, H132 = "Unlikely", 0.25, H132= "Rare", 0.1)</f>
        <v>0.5</v>
      </c>
      <c r="M132" s="95">
        <f t="shared" si="75"/>
        <v>50000</v>
      </c>
      <c r="N132" s="95">
        <f t="shared" si="76"/>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3" spans="1:14" ht="16" x14ac:dyDescent="0.2">
      <c r="E133" s="37" t="s">
        <v>1197</v>
      </c>
      <c r="F133" s="69" t="s">
        <v>859</v>
      </c>
      <c r="G133" s="283">
        <v>6</v>
      </c>
      <c r="H133" s="40" t="s">
        <v>838</v>
      </c>
      <c r="I133" s="41" t="s">
        <v>859</v>
      </c>
      <c r="J133" s="60" cm="1">
        <f t="array" ref="J133">_xlfn.IFS(I133 = "Catastrophic", 90%, I133 = "Major", 70%, I133 = "Moderate", 50%, I133 = "Minor", 30%, I133 = "Negligible", 5%)</f>
        <v>0.5</v>
      </c>
      <c r="K133" s="123">
        <f t="shared" ref="K133" si="92">J132*D132</f>
        <v>100000</v>
      </c>
      <c r="L133" s="25" cm="1">
        <f t="array" ref="L133">_xlfn.IFS(H133 = "Almost Certain", 0.8, H133 = "Likely", 0.75, H133 = "Possible", 0.5, H133 = "Unlikely", 0.25, H133= "Rare", 0.1)</f>
        <v>0.5</v>
      </c>
      <c r="M133" s="95">
        <f t="shared" si="75"/>
        <v>50000</v>
      </c>
      <c r="N133" s="95">
        <f t="shared" si="76"/>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4" spans="1:14" ht="16" x14ac:dyDescent="0.2">
      <c r="B134" s="668" t="s">
        <v>398</v>
      </c>
      <c r="C134" s="669" t="s">
        <v>399</v>
      </c>
      <c r="D134" s="663">
        <v>150000</v>
      </c>
      <c r="E134" s="37" t="s">
        <v>1224</v>
      </c>
      <c r="F134" s="69" t="s">
        <v>1507</v>
      </c>
      <c r="G134" s="283">
        <v>4</v>
      </c>
      <c r="H134" s="40" t="s">
        <v>850</v>
      </c>
      <c r="I134" s="41" t="s">
        <v>859</v>
      </c>
      <c r="J134" s="60" cm="1">
        <f t="array" ref="J134">_xlfn.IFS(I134 = "Catastrophic", 90%, I134 = "Major", 70%, I134 = "Moderate", 50%, I134 = "Minor", 30%, I134 = "Negligible", 5%)</f>
        <v>0.5</v>
      </c>
      <c r="K134" s="123">
        <f t="shared" ref="K134" si="93">J134*D134</f>
        <v>75000</v>
      </c>
      <c r="L134" s="25" cm="1">
        <f t="array" ref="L134">_xlfn.IFS(H134 = "Almost Certain", 0.8, H134 = "Likely", 0.75, H134 = "Possible", 0.5, H134 = "Unlikely", 0.25, H134= "Rare", 0.1)</f>
        <v>0.75</v>
      </c>
      <c r="M134" s="95">
        <f t="shared" si="75"/>
        <v>56250</v>
      </c>
      <c r="N134" s="95">
        <f t="shared" si="76"/>
        <v>56250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5" spans="1:14" ht="16" x14ac:dyDescent="0.2">
      <c r="E135" s="37" t="s">
        <v>1227</v>
      </c>
      <c r="F135" s="69" t="s">
        <v>1507</v>
      </c>
      <c r="G135" s="283">
        <v>4</v>
      </c>
      <c r="H135" s="40" t="s">
        <v>1025</v>
      </c>
      <c r="I135" s="41" t="s">
        <v>859</v>
      </c>
      <c r="J135" s="60" cm="1">
        <f t="array" ref="J135">_xlfn.IFS(I135 = "Catastrophic", 90%, I135 = "Major", 70%, I135 = "Moderate", 50%, I135 = "Minor", 30%, I135 = "Negligible", 5%)</f>
        <v>0.5</v>
      </c>
      <c r="K135" s="123">
        <f t="shared" ref="K135" si="94">J134*D134</f>
        <v>75000</v>
      </c>
      <c r="L135" s="25" cm="1">
        <f t="array" ref="L135">_xlfn.IFS(H135 = "Almost Certain", 0.8, H135 = "Likely", 0.75, H135 = "Possible", 0.5, H135 = "Unlikely", 0.25, H135= "Rare", 0.1)</f>
        <v>0.25</v>
      </c>
      <c r="M135" s="95">
        <f t="shared" si="75"/>
        <v>18750</v>
      </c>
      <c r="N135" s="95">
        <f t="shared" si="76"/>
        <v>18750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6" spans="1:14" ht="16" x14ac:dyDescent="0.2">
      <c r="B136" s="668" t="s">
        <v>407</v>
      </c>
      <c r="C136" s="669" t="s">
        <v>408</v>
      </c>
      <c r="D136" s="663">
        <v>100000</v>
      </c>
      <c r="E136" s="37" t="s">
        <v>1229</v>
      </c>
      <c r="F136" s="69" t="s">
        <v>859</v>
      </c>
      <c r="G136" s="283">
        <v>5</v>
      </c>
      <c r="H136" s="40" t="s">
        <v>838</v>
      </c>
      <c r="I136" s="41" t="s">
        <v>859</v>
      </c>
      <c r="J136" s="60" cm="1">
        <f t="array" ref="J136">_xlfn.IFS(I136 = "Catastrophic", 90%, I136 = "Major", 70%, I136 = "Moderate", 50%, I136 = "Minor", 30%, I136 = "Negligible", 5%)</f>
        <v>0.5</v>
      </c>
      <c r="K136" s="123">
        <f t="shared" ref="K136" si="95">J136*D136</f>
        <v>50000</v>
      </c>
      <c r="L136" s="25" cm="1">
        <f t="array" ref="L136">_xlfn.IFS(H136 = "Almost Certain", 0.8, H136 = "Likely", 0.75, H136 = "Possible", 0.5, H136 = "Unlikely", 0.25, H136= "Rare", 0.1)</f>
        <v>0.5</v>
      </c>
      <c r="M136" s="95">
        <f t="shared" si="75"/>
        <v>25000</v>
      </c>
      <c r="N136" s="95">
        <f t="shared" si="76"/>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7" spans="1:14" ht="16" x14ac:dyDescent="0.2">
      <c r="E137" s="37" t="s">
        <v>1231</v>
      </c>
      <c r="F137" s="69" t="s">
        <v>1507</v>
      </c>
      <c r="G137" s="283">
        <v>3</v>
      </c>
      <c r="H137" s="40" t="s">
        <v>1233</v>
      </c>
      <c r="I137" s="41" t="s">
        <v>993</v>
      </c>
      <c r="J137" s="60" cm="1">
        <f t="array" ref="J137">_xlfn.IFS(I137 = "Catastrophic", 90%, I137 = "Major", 70%, I137 = "Moderate", 50%, I137 = "Minor", 30%, I137 = "Negligible", 5%)</f>
        <v>0.3</v>
      </c>
      <c r="K137" s="123">
        <f t="shared" ref="K137" si="96">J136*D136</f>
        <v>50000</v>
      </c>
      <c r="L137" s="25" cm="1">
        <f t="array" ref="L137">_xlfn.IFS(H137 = "Almost Certain", 0.8, H137 = "Likely", 0.75, H137 = "Possible", 0.5, H137 = "Unlikely", 0.25, H137= "Rare", 0.1)</f>
        <v>0.1</v>
      </c>
      <c r="M137" s="95">
        <f t="shared" si="75"/>
        <v>5000</v>
      </c>
      <c r="N137" s="95">
        <f t="shared" si="76"/>
        <v>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8" spans="1:14" ht="16" x14ac:dyDescent="0.2">
      <c r="B138" s="668" t="s">
        <v>413</v>
      </c>
      <c r="C138" s="669" t="s">
        <v>414</v>
      </c>
      <c r="D138" s="663">
        <v>100000</v>
      </c>
      <c r="E138" s="37" t="s">
        <v>1234</v>
      </c>
      <c r="F138" s="69" t="s">
        <v>1505</v>
      </c>
      <c r="G138" s="283">
        <v>6</v>
      </c>
      <c r="H138" s="40" t="s">
        <v>858</v>
      </c>
      <c r="I138" s="41" t="s">
        <v>840</v>
      </c>
      <c r="J138" s="60" cm="1">
        <f t="array" ref="J138">_xlfn.IFS(I138 = "Catastrophic", 90%, I138 = "Major", 70%, I138 = "Moderate", 50%, I138 = "Minor", 30%, I138 = "Negligible", 5%)</f>
        <v>0.7</v>
      </c>
      <c r="K138" s="123">
        <f t="shared" ref="K138" si="97">J138*D138</f>
        <v>70000</v>
      </c>
      <c r="L138" s="25" cm="1">
        <f t="array" ref="L138">_xlfn.IFS(H138 = "Almost Certain", 0.8, H138 = "Likely", 0.75, H138 = "Possible", 0.5, H138 = "Unlikely", 0.25, H138= "Rare", 0.1)</f>
        <v>0.8</v>
      </c>
      <c r="M138" s="95">
        <f t="shared" si="75"/>
        <v>56000</v>
      </c>
      <c r="N138" s="95">
        <f t="shared" si="76"/>
        <v>56000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9" spans="1:14" ht="16" x14ac:dyDescent="0.2">
      <c r="E139" s="37" t="s">
        <v>1236</v>
      </c>
      <c r="F139" s="69" t="s">
        <v>859</v>
      </c>
      <c r="G139" s="283">
        <v>5</v>
      </c>
      <c r="H139" s="40" t="s">
        <v>838</v>
      </c>
      <c r="I139" s="41" t="s">
        <v>859</v>
      </c>
      <c r="J139" s="60" cm="1">
        <f t="array" ref="J139">_xlfn.IFS(I139 = "Catastrophic", 90%, I139 = "Major", 70%, I139 = "Moderate", 50%, I139 = "Minor", 30%, I139 = "Negligible", 5%)</f>
        <v>0.5</v>
      </c>
      <c r="K139" s="123">
        <f t="shared" ref="K139" si="98">J138*D138</f>
        <v>70000</v>
      </c>
      <c r="L139" s="25" cm="1">
        <f t="array" ref="L139">_xlfn.IFS(H139 = "Almost Certain", 0.8, H139 = "Likely", 0.75, H139 = "Possible", 0.5, H139 = "Unlikely", 0.25, H139= "Rare", 0.1)</f>
        <v>0.5</v>
      </c>
      <c r="M139" s="95">
        <f t="shared" si="75"/>
        <v>35000</v>
      </c>
      <c r="N139" s="95">
        <f t="shared" si="76"/>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0" spans="1:14" ht="16" x14ac:dyDescent="0.2">
      <c r="B140" s="668" t="s">
        <v>419</v>
      </c>
      <c r="C140" s="669" t="s">
        <v>1238</v>
      </c>
      <c r="D140" s="663">
        <v>500000</v>
      </c>
      <c r="E140" s="37" t="s">
        <v>1239</v>
      </c>
      <c r="F140" s="69" t="s">
        <v>1505</v>
      </c>
      <c r="G140" s="283">
        <v>10</v>
      </c>
      <c r="H140" s="40" t="s">
        <v>850</v>
      </c>
      <c r="I140" s="41" t="s">
        <v>840</v>
      </c>
      <c r="J140" s="60" cm="1">
        <f t="array" ref="J140">_xlfn.IFS(I140 = "Catastrophic", 90%, I140 = "Major", 70%, I140 = "Moderate", 50%, I140 = "Minor", 30%, I140 = "Negligible", 5%)</f>
        <v>0.7</v>
      </c>
      <c r="K140" s="123">
        <f t="shared" ref="K140" si="99">J140*D140</f>
        <v>350000</v>
      </c>
      <c r="L140" s="25" cm="1">
        <f t="array" ref="L140">_xlfn.IFS(H140 = "Almost Certain", 0.8, H140 = "Likely", 0.75, H140 = "Possible", 0.5, H140 = "Unlikely", 0.25, H140= "Rare", 0.1)</f>
        <v>0.75</v>
      </c>
      <c r="M140" s="95">
        <f t="shared" si="75"/>
        <v>262500</v>
      </c>
      <c r="N140" s="95">
        <f t="shared" si="76"/>
        <v>262500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1" spans="1:14" ht="16" x14ac:dyDescent="0.2">
      <c r="E141" s="37" t="s">
        <v>1240</v>
      </c>
      <c r="F141" s="69" t="s">
        <v>1505</v>
      </c>
      <c r="G141" s="283">
        <v>8</v>
      </c>
      <c r="H141" s="40" t="s">
        <v>850</v>
      </c>
      <c r="I141" s="41" t="s">
        <v>840</v>
      </c>
      <c r="J141" s="60" cm="1">
        <f t="array" ref="J141">_xlfn.IFS(I141 = "Catastrophic", 90%, I141 = "Major", 70%, I141 = "Moderate", 50%, I141 = "Minor", 30%, I141 = "Negligible", 5%)</f>
        <v>0.7</v>
      </c>
      <c r="K141" s="123">
        <f t="shared" ref="K141" si="100">J140*D140</f>
        <v>350000</v>
      </c>
      <c r="L141" s="25" cm="1">
        <f t="array" ref="L141">_xlfn.IFS(H141 = "Almost Certain", 0.8, H141 = "Likely", 0.75, H141 = "Possible", 0.5, H141 = "Unlikely", 0.25, H141= "Rare", 0.1)</f>
        <v>0.75</v>
      </c>
      <c r="M141" s="95">
        <f t="shared" si="75"/>
        <v>262500</v>
      </c>
      <c r="N141" s="95">
        <f t="shared" si="76"/>
        <v>262500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2" spans="1:14" ht="16" x14ac:dyDescent="0.2">
      <c r="B142" s="668" t="s">
        <v>427</v>
      </c>
      <c r="C142" s="669" t="s">
        <v>1242</v>
      </c>
      <c r="D142" s="663">
        <v>300000</v>
      </c>
      <c r="E142" s="37" t="s">
        <v>1203</v>
      </c>
      <c r="F142" s="69" t="s">
        <v>1505</v>
      </c>
      <c r="G142" s="283">
        <v>7</v>
      </c>
      <c r="H142" s="40" t="s">
        <v>850</v>
      </c>
      <c r="I142" s="41" t="s">
        <v>859</v>
      </c>
      <c r="J142" s="60" cm="1">
        <f t="array" ref="J142">_xlfn.IFS(I142 = "Catastrophic", 90%, I142 = "Major", 70%, I142 = "Moderate", 50%, I142 = "Minor", 30%, I142 = "Negligible", 5%)</f>
        <v>0.5</v>
      </c>
      <c r="K142" s="123">
        <f t="shared" ref="K142" si="101">J142*D142</f>
        <v>150000</v>
      </c>
      <c r="L142" s="25" cm="1">
        <f t="array" ref="L142">_xlfn.IFS(H142 = "Almost Certain", 0.8, H142 = "Likely", 0.75, H142 = "Possible", 0.5, H142 = "Unlikely", 0.25, H142= "Rare", 0.1)</f>
        <v>0.75</v>
      </c>
      <c r="M142" s="95">
        <f t="shared" si="75"/>
        <v>112500</v>
      </c>
      <c r="N142" s="95">
        <f t="shared" si="76"/>
        <v>112500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3" spans="1:14" ht="16" x14ac:dyDescent="0.2">
      <c r="E143" s="37" t="s">
        <v>1245</v>
      </c>
      <c r="F143" s="69" t="s">
        <v>859</v>
      </c>
      <c r="G143" s="283">
        <v>6</v>
      </c>
      <c r="H143" s="40" t="s">
        <v>838</v>
      </c>
      <c r="I143" s="41" t="s">
        <v>859</v>
      </c>
      <c r="J143" s="60" cm="1">
        <f t="array" ref="J143">_xlfn.IFS(I143 = "Catastrophic", 90%, I143 = "Major", 70%, I143 = "Moderate", 50%, I143 = "Minor", 30%, I143 = "Negligible", 5%)</f>
        <v>0.5</v>
      </c>
      <c r="K143" s="123">
        <f t="shared" ref="K143" si="102">J142*D142</f>
        <v>150000</v>
      </c>
      <c r="L143" s="25" cm="1">
        <f t="array" ref="L143">_xlfn.IFS(H143 = "Almost Certain", 0.8, H143 = "Likely", 0.75, H143 = "Possible", 0.5, H143 = "Unlikely", 0.25, H143= "Rare", 0.1)</f>
        <v>0.5</v>
      </c>
      <c r="M143" s="95">
        <f t="shared" si="75"/>
        <v>75000</v>
      </c>
      <c r="N143" s="95">
        <f t="shared" si="76"/>
        <v>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4" spans="1:14" ht="16" x14ac:dyDescent="0.2">
      <c r="B144" s="668" t="s">
        <v>435</v>
      </c>
      <c r="C144" s="669" t="s">
        <v>436</v>
      </c>
      <c r="D144" s="663">
        <v>400000</v>
      </c>
      <c r="E144" s="37" t="s">
        <v>1247</v>
      </c>
      <c r="F144" s="69" t="s">
        <v>1505</v>
      </c>
      <c r="G144" s="283">
        <v>8</v>
      </c>
      <c r="H144" s="40" t="s">
        <v>850</v>
      </c>
      <c r="I144" s="41" t="s">
        <v>840</v>
      </c>
      <c r="J144" s="60" cm="1">
        <f t="array" ref="J144">_xlfn.IFS(I144 = "Catastrophic", 90%, I144 = "Major", 70%, I144 = "Moderate", 50%, I144 = "Minor", 30%, I144 = "Negligible", 5%)</f>
        <v>0.7</v>
      </c>
      <c r="K144" s="123">
        <f t="shared" ref="K144" si="103">J144*D144</f>
        <v>280000</v>
      </c>
      <c r="L144" s="25" cm="1">
        <f t="array" ref="L144">_xlfn.IFS(H144 = "Almost Certain", 0.8, H144 = "Likely", 0.75, H144 = "Possible", 0.5, H144 = "Unlikely", 0.25, H144= "Rare", 0.1)</f>
        <v>0.75</v>
      </c>
      <c r="M144" s="95">
        <f t="shared" si="75"/>
        <v>210000</v>
      </c>
      <c r="N144" s="95">
        <f t="shared" si="76"/>
        <v>210000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5" spans="1:14" ht="16" x14ac:dyDescent="0.2">
      <c r="E145" s="37" t="s">
        <v>1197</v>
      </c>
      <c r="F145" s="69" t="s">
        <v>1505</v>
      </c>
      <c r="G145" s="283">
        <v>9</v>
      </c>
      <c r="H145" s="40" t="s">
        <v>850</v>
      </c>
      <c r="I145" s="41" t="s">
        <v>840</v>
      </c>
      <c r="J145" s="60" cm="1">
        <f t="array" ref="J145">_xlfn.IFS(I145 = "Catastrophic", 90%, I145 = "Major", 70%, I145 = "Moderate", 50%, I145 = "Minor", 30%, I145 = "Negligible", 5%)</f>
        <v>0.7</v>
      </c>
      <c r="K145" s="123">
        <f t="shared" ref="K145" si="104">J144*D144</f>
        <v>280000</v>
      </c>
      <c r="L145" s="25" cm="1">
        <f t="array" ref="L145">_xlfn.IFS(H145 = "Almost Certain", 0.8, H145 = "Likely", 0.75, H145 = "Possible", 0.5, H145 = "Unlikely", 0.25, H145= "Rare", 0.1)</f>
        <v>0.75</v>
      </c>
      <c r="M145" s="95">
        <f t="shared" si="75"/>
        <v>210000</v>
      </c>
      <c r="N145" s="95">
        <f t="shared" si="76"/>
        <v>210000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6" spans="1:14" ht="16" x14ac:dyDescent="0.2">
      <c r="B146" s="668" t="s">
        <v>443</v>
      </c>
      <c r="C146" s="669" t="s">
        <v>376</v>
      </c>
      <c r="D146" s="663">
        <v>300000</v>
      </c>
      <c r="E146" s="37" t="s">
        <v>1249</v>
      </c>
      <c r="F146" s="69" t="s">
        <v>1505</v>
      </c>
      <c r="G146" s="283">
        <v>5</v>
      </c>
      <c r="H146" s="40" t="s">
        <v>838</v>
      </c>
      <c r="I146" s="41" t="s">
        <v>859</v>
      </c>
      <c r="J146" s="60" cm="1">
        <f t="array" ref="J146">_xlfn.IFS(I146 = "Catastrophic", 90%, I146 = "Major", 70%, I146 = "Moderate", 50%, I146 = "Minor", 30%, I146 = "Negligible", 5%)</f>
        <v>0.5</v>
      </c>
      <c r="K146" s="123">
        <f t="shared" ref="K146" si="105">J146*D146</f>
        <v>150000</v>
      </c>
      <c r="L146" s="25" cm="1">
        <f t="array" ref="L146">_xlfn.IFS(H146 = "Almost Certain", 0.8, H146 = "Likely", 0.75, H146 = "Possible", 0.5, H146 = "Unlikely", 0.25, H146= "Rare", 0.1)</f>
        <v>0.5</v>
      </c>
      <c r="M146" s="95">
        <f t="shared" si="75"/>
        <v>75000</v>
      </c>
      <c r="N146" s="95">
        <f t="shared" si="76"/>
        <v>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7" spans="1:14" ht="16" x14ac:dyDescent="0.2">
      <c r="E147" s="37" t="s">
        <v>1251</v>
      </c>
      <c r="F147" s="69" t="s">
        <v>1505</v>
      </c>
      <c r="G147" s="283">
        <v>8</v>
      </c>
      <c r="H147" s="40" t="s">
        <v>850</v>
      </c>
      <c r="I147" s="41" t="s">
        <v>859</v>
      </c>
      <c r="J147" s="60" cm="1">
        <f t="array" ref="J147">_xlfn.IFS(I147 = "Catastrophic", 90%, I147 = "Major", 70%, I147 = "Moderate", 50%, I147 = "Minor", 30%, I147 = "Negligible", 5%)</f>
        <v>0.5</v>
      </c>
      <c r="K147" s="123">
        <f t="shared" ref="K147" si="106">J146*D146</f>
        <v>150000</v>
      </c>
      <c r="L147" s="25" cm="1">
        <f t="array" ref="L147">_xlfn.IFS(H147 = "Almost Certain", 0.8, H147 = "Likely", 0.75, H147 = "Possible", 0.5, H147 = "Unlikely", 0.25, H147= "Rare", 0.1)</f>
        <v>0.75</v>
      </c>
      <c r="M147" s="95">
        <f t="shared" si="75"/>
        <v>112500</v>
      </c>
      <c r="N147" s="95">
        <f t="shared" si="76"/>
        <v>112500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8" spans="1:14" ht="16" x14ac:dyDescent="0.2">
      <c r="B148" s="668" t="s">
        <v>451</v>
      </c>
      <c r="C148" s="675" t="s">
        <v>452</v>
      </c>
      <c r="D148" s="663">
        <v>100000</v>
      </c>
      <c r="E148" s="68" t="s">
        <v>1234</v>
      </c>
      <c r="F148" s="69" t="s">
        <v>1505</v>
      </c>
      <c r="G148" s="283">
        <v>6</v>
      </c>
      <c r="H148" s="40" t="s">
        <v>850</v>
      </c>
      <c r="I148" s="41" t="s">
        <v>840</v>
      </c>
      <c r="J148" s="60" cm="1">
        <f t="array" ref="J148">_xlfn.IFS(I148 = "Catastrophic", 90%, I148 = "Major", 70%, I148 = "Moderate", 50%, I148 = "Minor", 30%, I148 = "Negligible", 5%)</f>
        <v>0.7</v>
      </c>
      <c r="K148" s="123">
        <f t="shared" ref="K148" si="107">J148*D148</f>
        <v>70000</v>
      </c>
      <c r="L148" s="25" cm="1">
        <f t="array" ref="L148">_xlfn.IFS(H148 = "Almost Certain", 0.8, H148 = "Likely", 0.75, H148 = "Possible", 0.5, H148 = "Unlikely", 0.25, H148= "Rare", 0.1)</f>
        <v>0.75</v>
      </c>
      <c r="M148" s="95">
        <f t="shared" si="75"/>
        <v>52500</v>
      </c>
      <c r="N148" s="95">
        <f t="shared" si="76"/>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9" spans="1:14" ht="16" x14ac:dyDescent="0.2">
      <c r="E149" s="54" t="s">
        <v>1236</v>
      </c>
      <c r="F149" s="69" t="s">
        <v>859</v>
      </c>
      <c r="G149" s="283">
        <v>5</v>
      </c>
      <c r="H149" s="40" t="s">
        <v>850</v>
      </c>
      <c r="I149" s="41" t="s">
        <v>993</v>
      </c>
      <c r="J149" s="60" cm="1">
        <f t="array" ref="J149">_xlfn.IFS(I149 = "Catastrophic", 90%, I149 = "Major", 70%, I149 = "Moderate", 50%, I149 = "Minor", 30%, I149 = "Negligible", 5%)</f>
        <v>0.3</v>
      </c>
      <c r="K149" s="123">
        <f t="shared" ref="K149" si="108">J148*D148</f>
        <v>70000</v>
      </c>
      <c r="L149" s="25" cm="1">
        <f t="array" ref="L149">_xlfn.IFS(H149 = "Almost Certain", 0.8, H149 = "Likely", 0.75, H149 = "Possible", 0.5, H149 = "Unlikely", 0.25, H149= "Rare", 0.1)</f>
        <v>0.75</v>
      </c>
      <c r="M149" s="95">
        <f t="shared" si="75"/>
        <v>52500</v>
      </c>
      <c r="N149" s="95">
        <f t="shared" si="76"/>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1" spans="1:14" x14ac:dyDescent="0.2">
      <c r="A151" s="673" t="s">
        <v>457</v>
      </c>
      <c r="B151" s="626" t="s">
        <v>460</v>
      </c>
      <c r="C151" s="683" t="s">
        <v>461</v>
      </c>
      <c r="D151" s="686">
        <v>1000000</v>
      </c>
      <c r="E151" s="7" t="s">
        <v>937</v>
      </c>
      <c r="F151" s="6" t="s">
        <v>1505</v>
      </c>
      <c r="G151" s="284">
        <v>20</v>
      </c>
      <c r="H151" s="35" t="s">
        <v>850</v>
      </c>
      <c r="I151" s="35" t="s">
        <v>839</v>
      </c>
      <c r="J151" s="60" cm="1">
        <f t="array" ref="J151">_xlfn.IFS(I151 = "Catastrophic", 90%, I151 = "Major", 70%, I151 = "Moderate", 50%, I151 = "Minor", 30%, I151 = "Negligible", 5%)</f>
        <v>0.9</v>
      </c>
      <c r="K151" s="123">
        <f>D151*J151</f>
        <v>900000</v>
      </c>
      <c r="L151" s="25" cm="1">
        <f t="array" ref="L151">_xlfn.IFS(H151 = "Almost Certain", 0.8, H151 = "Likely", 0.75, H151 = "Possible", 0.5, H151 = "Unlikely", 0.25, H151= "Rare", 0.1)</f>
        <v>0.75</v>
      </c>
      <c r="M151" s="95">
        <f t="shared" ref="M151:M168" si="109">K151*L151</f>
        <v>675000</v>
      </c>
      <c r="N151" s="93">
        <f t="shared" ref="N151:N178" si="110">M151</f>
        <v>675000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2" spans="1:14" x14ac:dyDescent="0.2">
      <c r="E152" s="7" t="s">
        <v>1256</v>
      </c>
      <c r="F152" s="7" t="s">
        <v>1505</v>
      </c>
      <c r="G152" s="285">
        <v>20</v>
      </c>
      <c r="H152" s="35" t="s">
        <v>850</v>
      </c>
      <c r="I152" s="35" t="s">
        <v>840</v>
      </c>
      <c r="J152" s="60" cm="1">
        <f t="array" ref="J152">_xlfn.IFS(I152 = "Catastrophic", 90%, I152 = "Major", 70%, I152 = "Moderate", 50%, I152 = "Minor", 30%, I152 = "Negligible", 5%)</f>
        <v>0.7</v>
      </c>
      <c r="K152" s="123">
        <f>D151*J152</f>
        <v>700000</v>
      </c>
      <c r="L152" s="25" cm="1">
        <f t="array" ref="L152">_xlfn.IFS(H152 = "Almost Certain", 0.8, H152 = "Likely", 0.75, H152 = "Possible", 0.5, H152 = "Unlikely", 0.25, H152= "Rare", 0.1)</f>
        <v>0.75</v>
      </c>
      <c r="M152" s="95">
        <f t="shared" si="109"/>
        <v>525000</v>
      </c>
      <c r="N152" s="93">
        <f>M152</f>
        <v>525000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3" spans="1:14" x14ac:dyDescent="0.2">
      <c r="E153" s="7" t="s">
        <v>1258</v>
      </c>
      <c r="F153" s="7" t="s">
        <v>859</v>
      </c>
      <c r="G153" s="285">
        <v>15</v>
      </c>
      <c r="H153" s="35" t="s">
        <v>858</v>
      </c>
      <c r="I153" s="35" t="s">
        <v>859</v>
      </c>
      <c r="J153" s="60" cm="1">
        <f t="array" ref="J153">_xlfn.IFS(I153 = "Catastrophic", 90%, I153 = "Major", 70%, I153 = "Moderate", 50%, I153 = "Minor", 30%, I153 = "Negligible", 5%)</f>
        <v>0.5</v>
      </c>
      <c r="K153" s="123">
        <f>D151*J153</f>
        <v>500000</v>
      </c>
      <c r="L153" s="25" cm="1">
        <f t="array" ref="L153">_xlfn.IFS(H153 = "Almost Certain", 0.8, H153 = "Likely", 0.75, H153 = "Possible", 0.5, H153 = "Unlikely", 0.25, H153= "Rare", 0.1)</f>
        <v>0.8</v>
      </c>
      <c r="M153" s="95">
        <f t="shared" si="109"/>
        <v>400000</v>
      </c>
      <c r="N153" s="93">
        <f t="shared" si="110"/>
        <v>400000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4" spans="1:14" x14ac:dyDescent="0.2">
      <c r="B154" s="626" t="s">
        <v>468</v>
      </c>
      <c r="C154" s="676" t="s">
        <v>469</v>
      </c>
      <c r="D154" s="686">
        <v>300000</v>
      </c>
      <c r="E154" s="6" t="s">
        <v>1261</v>
      </c>
      <c r="F154" s="7" t="s">
        <v>1507</v>
      </c>
      <c r="G154" s="285">
        <v>7</v>
      </c>
      <c r="H154" s="35" t="s">
        <v>838</v>
      </c>
      <c r="I154" s="35" t="s">
        <v>993</v>
      </c>
      <c r="J154" s="60" cm="1">
        <f t="array" ref="J154">_xlfn.IFS(I154 = "Catastrophic", 90%, I154 = "Major", 70%, I154 = "Moderate", 50%, I154 = "Minor", 30%, I154 = "Negligible", 5%)</f>
        <v>0.3</v>
      </c>
      <c r="K154" s="123">
        <f>D154*J154</f>
        <v>90000</v>
      </c>
      <c r="L154" s="25" cm="1">
        <f t="array" ref="L154">_xlfn.IFS(H154 = "Almost Certain", 0.8, H154 = "Likely", 0.75, H154 = "Possible", 0.5, H154 = "Unlikely", 0.25, H154= "Rare", 0.1)</f>
        <v>0.5</v>
      </c>
      <c r="M154" s="95">
        <f t="shared" si="109"/>
        <v>45000</v>
      </c>
      <c r="N154" s="93">
        <f t="shared" si="110"/>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5" spans="1:14" x14ac:dyDescent="0.2">
      <c r="E155" s="7" t="s">
        <v>1265</v>
      </c>
      <c r="F155" s="7" t="s">
        <v>1505</v>
      </c>
      <c r="G155" s="285">
        <v>45</v>
      </c>
      <c r="H155" s="35" t="s">
        <v>838</v>
      </c>
      <c r="I155" s="35" t="s">
        <v>859</v>
      </c>
      <c r="J155" s="60" cm="1">
        <f t="array" ref="J155">_xlfn.IFS(I155 = "Catastrophic", 90%, I155 = "Major", 70%, I155 = "Moderate", 50%, I155 = "Minor", 30%, I155 = "Negligible", 5%)</f>
        <v>0.5</v>
      </c>
      <c r="K155" s="123">
        <f>D154*J155</f>
        <v>150000</v>
      </c>
      <c r="L155" s="25" cm="1">
        <f t="array" ref="L155">_xlfn.IFS(H155 = "Almost Certain", 0.8, H155 = "Likely", 0.75, H155 = "Possible", 0.5, H155 = "Unlikely", 0.25, H155= "Rare", 0.1)</f>
        <v>0.5</v>
      </c>
      <c r="M155" s="95">
        <f t="shared" si="109"/>
        <v>75000</v>
      </c>
      <c r="N155" s="93">
        <f t="shared" si="110"/>
        <v>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6" spans="1:14" x14ac:dyDescent="0.2">
      <c r="E156" s="7" t="s">
        <v>1268</v>
      </c>
      <c r="F156" s="7" t="s">
        <v>1505</v>
      </c>
      <c r="G156" s="285">
        <v>15</v>
      </c>
      <c r="H156" s="35" t="s">
        <v>850</v>
      </c>
      <c r="I156" s="35" t="s">
        <v>859</v>
      </c>
      <c r="J156" s="60" cm="1">
        <f t="array" ref="J156">_xlfn.IFS(I156 = "Catastrophic", 90%, I156 = "Major", 70%, I156 = "Moderate", 50%, I156 = "Minor", 30%, I156 = "Negligible", 5%)</f>
        <v>0.5</v>
      </c>
      <c r="K156" s="123">
        <f>D154*J156</f>
        <v>150000</v>
      </c>
      <c r="L156" s="25" cm="1">
        <f t="array" ref="L156">_xlfn.IFS(H156 = "Almost Certain", 0.8, H156 = "Likely", 0.75, H156 = "Possible", 0.5, H156 = "Unlikely", 0.25, H156= "Rare", 0.1)</f>
        <v>0.75</v>
      </c>
      <c r="M156" s="95">
        <f t="shared" si="109"/>
        <v>112500</v>
      </c>
      <c r="N156" s="93">
        <f t="shared" si="110"/>
        <v>112500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7" spans="1:14" x14ac:dyDescent="0.2">
      <c r="B157" s="626" t="s">
        <v>475</v>
      </c>
      <c r="C157" s="676" t="s">
        <v>476</v>
      </c>
      <c r="D157" s="686">
        <v>300000</v>
      </c>
      <c r="E157" s="6" t="s">
        <v>1272</v>
      </c>
      <c r="F157" s="7" t="s">
        <v>859</v>
      </c>
      <c r="G157" s="285">
        <v>15</v>
      </c>
      <c r="H157" s="35" t="s">
        <v>838</v>
      </c>
      <c r="I157" s="35" t="s">
        <v>993</v>
      </c>
      <c r="J157" s="60" cm="1">
        <f t="array" ref="J157">_xlfn.IFS(I157 = "Catastrophic", 90%, I157 = "Major", 70%, I157 = "Moderate", 50%, I157 = "Minor", 30%, I157 = "Negligible", 5%)</f>
        <v>0.3</v>
      </c>
      <c r="K157" s="123">
        <f>D157*J157</f>
        <v>90000</v>
      </c>
      <c r="L157" s="25" cm="1">
        <f t="array" ref="L157">_xlfn.IFS(H157 = "Almost Certain", 0.8, H157 = "Likely", 0.75, H157 = "Possible", 0.5, H157 = "Unlikely", 0.25, H157= "Rare", 0.1)</f>
        <v>0.5</v>
      </c>
      <c r="M157" s="95">
        <f t="shared" si="109"/>
        <v>45000</v>
      </c>
      <c r="N157" s="93">
        <f t="shared" si="110"/>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8" spans="1:14" x14ac:dyDescent="0.2">
      <c r="E158" s="7" t="s">
        <v>851</v>
      </c>
      <c r="F158" s="7" t="s">
        <v>859</v>
      </c>
      <c r="G158" s="285">
        <v>20</v>
      </c>
      <c r="H158" s="35" t="s">
        <v>850</v>
      </c>
      <c r="I158" s="35" t="s">
        <v>859</v>
      </c>
      <c r="J158" s="60" cm="1">
        <f t="array" ref="J158">_xlfn.IFS(I158 = "Catastrophic", 90%, I158 = "Major", 70%, I158 = "Moderate", 50%, I158 = "Minor", 30%, I158 = "Negligible", 5%)</f>
        <v>0.5</v>
      </c>
      <c r="K158" s="123">
        <f>D157*J158</f>
        <v>150000</v>
      </c>
      <c r="L158" s="25" cm="1">
        <f t="array" ref="L158">_xlfn.IFS(H158 = "Almost Certain", 0.8, H158 = "Likely", 0.75, H158 = "Possible", 0.5, H158 = "Unlikely", 0.25, H158= "Rare", 0.1)</f>
        <v>0.75</v>
      </c>
      <c r="M158" s="95">
        <f t="shared" si="109"/>
        <v>112500</v>
      </c>
      <c r="N158" s="93">
        <f t="shared" si="110"/>
        <v>112500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9" spans="1:14" x14ac:dyDescent="0.2">
      <c r="E159" s="7" t="s">
        <v>1275</v>
      </c>
      <c r="F159" s="12" t="s">
        <v>1507</v>
      </c>
      <c r="G159" s="285">
        <v>7</v>
      </c>
      <c r="H159" s="35" t="s">
        <v>858</v>
      </c>
      <c r="I159" s="35" t="s">
        <v>993</v>
      </c>
      <c r="J159" s="60" cm="1">
        <f t="array" ref="J159">_xlfn.IFS(I159 = "Catastrophic", 90%, I159 = "Major", 70%, I159 = "Moderate", 50%, I159 = "Minor", 30%, I159 = "Negligible", 5%)</f>
        <v>0.3</v>
      </c>
      <c r="K159" s="123">
        <f>D157*J159</f>
        <v>90000</v>
      </c>
      <c r="L159" s="25" cm="1">
        <f t="array" ref="L159">_xlfn.IFS(H159 = "Almost Certain", 0.8, H159 = "Likely", 0.75, H159 = "Possible", 0.5, H159 = "Unlikely", 0.25, H159= "Rare", 0.1)</f>
        <v>0.8</v>
      </c>
      <c r="M159" s="95">
        <f t="shared" si="109"/>
        <v>72000</v>
      </c>
      <c r="N159" s="93">
        <f t="shared" si="110"/>
        <v>72000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0" spans="1:14" x14ac:dyDescent="0.2">
      <c r="B160" s="693" t="s">
        <v>480</v>
      </c>
      <c r="C160" s="679" t="s">
        <v>481</v>
      </c>
      <c r="D160" s="686">
        <v>200000</v>
      </c>
      <c r="E160" s="6" t="s">
        <v>1277</v>
      </c>
      <c r="F160" s="6" t="s">
        <v>1505</v>
      </c>
      <c r="G160" s="285">
        <v>20</v>
      </c>
      <c r="H160" s="35" t="s">
        <v>850</v>
      </c>
      <c r="I160" s="35" t="s">
        <v>859</v>
      </c>
      <c r="J160" s="60" cm="1">
        <f t="array" ref="J160">_xlfn.IFS(I160 = "Catastrophic", 90%, I160 = "Major", 70%, I160 = "Moderate", 50%, I160 = "Minor", 30%, I160 = "Negligible", 5%)</f>
        <v>0.5</v>
      </c>
      <c r="K160" s="123">
        <f>D160*J160</f>
        <v>100000</v>
      </c>
      <c r="L160" s="25" cm="1">
        <f t="array" ref="L160">_xlfn.IFS(H160 = "Almost Certain", 0.8, H160 = "Likely", 0.75, H160 = "Possible", 0.5, H160 = "Unlikely", 0.25, H160= "Rare", 0.1)</f>
        <v>0.75</v>
      </c>
      <c r="M160" s="95">
        <f t="shared" si="109"/>
        <v>75000</v>
      </c>
      <c r="N160" s="93">
        <f t="shared" si="110"/>
        <v>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1" spans="1:14" x14ac:dyDescent="0.2">
      <c r="E161" s="7" t="s">
        <v>1279</v>
      </c>
      <c r="F161" s="7" t="s">
        <v>859</v>
      </c>
      <c r="G161" s="285">
        <v>15</v>
      </c>
      <c r="H161" s="35" t="s">
        <v>838</v>
      </c>
      <c r="I161" s="35" t="s">
        <v>859</v>
      </c>
      <c r="J161" s="60" cm="1">
        <f t="array" ref="J161">_xlfn.IFS(I161 = "Catastrophic", 90%, I161 = "Major", 70%, I161 = "Moderate", 50%, I161 = "Minor", 30%, I161 = "Negligible", 5%)</f>
        <v>0.5</v>
      </c>
      <c r="K161" s="123">
        <f>D160*J161</f>
        <v>100000</v>
      </c>
      <c r="L161" s="25" cm="1">
        <f t="array" ref="L161">_xlfn.IFS(H161 = "Almost Certain", 0.8, H161 = "Likely", 0.75, H161 = "Possible", 0.5, H161 = "Unlikely", 0.25, H161= "Rare", 0.1)</f>
        <v>0.5</v>
      </c>
      <c r="M161" s="95">
        <f t="shared" si="109"/>
        <v>50000</v>
      </c>
      <c r="N161" s="93">
        <f t="shared" si="110"/>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2" spans="1:14" x14ac:dyDescent="0.2">
      <c r="E162" s="7" t="s">
        <v>1282</v>
      </c>
      <c r="F162" s="7" t="s">
        <v>859</v>
      </c>
      <c r="G162" s="285">
        <v>15</v>
      </c>
      <c r="H162" s="35" t="s">
        <v>858</v>
      </c>
      <c r="I162" s="35" t="s">
        <v>859</v>
      </c>
      <c r="J162" s="60" cm="1">
        <f t="array" ref="J162">_xlfn.IFS(I162 = "Catastrophic", 90%, I162 = "Major", 70%, I162 = "Moderate", 50%, I162 = "Minor", 30%, I162 = "Negligible", 5%)</f>
        <v>0.5</v>
      </c>
      <c r="K162" s="123">
        <f>D160*J162</f>
        <v>100000</v>
      </c>
      <c r="L162" s="25" cm="1">
        <f t="array" ref="L162">_xlfn.IFS(H162 = "Almost Certain", 0.8, H162 = "Likely", 0.75, H162 = "Possible", 0.5, H162 = "Unlikely", 0.25, H162= "Rare", 0.1)</f>
        <v>0.8</v>
      </c>
      <c r="M162" s="95">
        <f t="shared" si="109"/>
        <v>80000</v>
      </c>
      <c r="N162" s="93">
        <f t="shared" si="110"/>
        <v>80000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3" spans="1:14" x14ac:dyDescent="0.2">
      <c r="B163" s="626" t="s">
        <v>487</v>
      </c>
      <c r="C163" s="669" t="s">
        <v>488</v>
      </c>
      <c r="D163" s="686">
        <v>150000</v>
      </c>
      <c r="E163" s="78" t="s">
        <v>1284</v>
      </c>
      <c r="F163" s="7" t="s">
        <v>859</v>
      </c>
      <c r="G163" s="285">
        <v>15</v>
      </c>
      <c r="H163" s="35" t="s">
        <v>850</v>
      </c>
      <c r="I163" s="35" t="s">
        <v>859</v>
      </c>
      <c r="J163" s="60" cm="1">
        <f t="array" ref="J163">_xlfn.IFS(I163 = "Catastrophic", 90%, I163 = "Major", 70%, I163 = "Moderate", 50%, I163 = "Minor", 30%, I163 = "Negligible", 5%)</f>
        <v>0.5</v>
      </c>
      <c r="K163" s="123">
        <f>D163*J163</f>
        <v>75000</v>
      </c>
      <c r="L163" s="25" cm="1">
        <f t="array" ref="L163">_xlfn.IFS(H163 = "Almost Certain", 0.8, H163 = "Likely", 0.75, H163 = "Possible", 0.5, H163 = "Unlikely", 0.25, H163= "Rare", 0.1)</f>
        <v>0.75</v>
      </c>
      <c r="M163" s="95">
        <f t="shared" si="109"/>
        <v>56250</v>
      </c>
      <c r="N163" s="93">
        <f t="shared" si="110"/>
        <v>56250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4" spans="1:14" x14ac:dyDescent="0.2">
      <c r="E164" s="20" t="s">
        <v>904</v>
      </c>
      <c r="F164" s="7" t="s">
        <v>859</v>
      </c>
      <c r="G164" s="285">
        <v>15</v>
      </c>
      <c r="H164" s="35" t="s">
        <v>858</v>
      </c>
      <c r="I164" s="35" t="s">
        <v>859</v>
      </c>
      <c r="J164" s="60" cm="1">
        <f t="array" ref="J164">_xlfn.IFS(I164 = "Catastrophic", 90%, I164 = "Major", 70%, I164 = "Moderate", 50%, I164 = "Minor", 30%, I164 = "Negligible", 5%)</f>
        <v>0.5</v>
      </c>
      <c r="K164" s="123">
        <f>D163*J164</f>
        <v>75000</v>
      </c>
      <c r="L164" s="25" cm="1">
        <f t="array" ref="L164">_xlfn.IFS(H164 = "Almost Certain", 0.8, H164 = "Likely", 0.75, H164 = "Possible", 0.5, H164 = "Unlikely", 0.25, H164= "Rare", 0.1)</f>
        <v>0.8</v>
      </c>
      <c r="M164" s="95">
        <f t="shared" si="109"/>
        <v>60000</v>
      </c>
      <c r="N164" s="93">
        <f t="shared" si="110"/>
        <v>60000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5" spans="1:14" x14ac:dyDescent="0.2">
      <c r="E165" s="20" t="s">
        <v>1288</v>
      </c>
      <c r="F165" s="7" t="s">
        <v>1505</v>
      </c>
      <c r="G165" s="285">
        <v>20</v>
      </c>
      <c r="H165" s="35" t="s">
        <v>850</v>
      </c>
      <c r="I165" s="35" t="s">
        <v>859</v>
      </c>
      <c r="J165" s="60" cm="1">
        <f t="array" ref="J165">_xlfn.IFS(I165 = "Catastrophic", 90%, I165 = "Major", 70%, I165 = "Moderate", 50%, I165 = "Minor", 30%, I165 = "Negligible", 5%)</f>
        <v>0.5</v>
      </c>
      <c r="K165" s="123">
        <f>D163*J165</f>
        <v>75000</v>
      </c>
      <c r="L165" s="25" cm="1">
        <f t="array" ref="L165">_xlfn.IFS(H165 = "Almost Certain", 0.8, H165 = "Likely", 0.75, H165 = "Possible", 0.5, H165 = "Unlikely", 0.25, H165= "Rare", 0.1)</f>
        <v>0.75</v>
      </c>
      <c r="M165" s="95">
        <f t="shared" si="109"/>
        <v>56250</v>
      </c>
      <c r="N165" s="93">
        <f t="shared" si="110"/>
        <v>56250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6" spans="1:14" x14ac:dyDescent="0.2">
      <c r="B166" s="626" t="s">
        <v>493</v>
      </c>
      <c r="C166" s="669" t="s">
        <v>494</v>
      </c>
      <c r="D166" s="686">
        <v>150000</v>
      </c>
      <c r="E166" s="78" t="s">
        <v>1005</v>
      </c>
      <c r="F166" s="7" t="s">
        <v>859</v>
      </c>
      <c r="G166" s="285">
        <v>7</v>
      </c>
      <c r="H166" s="35" t="s">
        <v>838</v>
      </c>
      <c r="I166" s="35" t="s">
        <v>859</v>
      </c>
      <c r="J166" s="60" cm="1">
        <f t="array" ref="J166">_xlfn.IFS(I166 = "Catastrophic", 90%, I166 = "Major", 70%, I166 = "Moderate", 50%, I166 = "Minor", 30%, I166 = "Negligible", 5%)</f>
        <v>0.5</v>
      </c>
      <c r="K166" s="123">
        <f>D166*J166</f>
        <v>75000</v>
      </c>
      <c r="L166" s="25" cm="1">
        <f t="array" ref="L166">_xlfn.IFS(H166 = "Almost Certain", 0.8, H166 = "Likely", 0.75, H166 = "Possible", 0.5, H166 = "Unlikely", 0.25, H166= "Rare", 0.1)</f>
        <v>0.5</v>
      </c>
      <c r="M166" s="95">
        <f t="shared" si="109"/>
        <v>37500</v>
      </c>
      <c r="N166" s="93">
        <f t="shared" si="110"/>
        <v>37500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7" spans="1:14" x14ac:dyDescent="0.2">
      <c r="E167" s="7" t="s">
        <v>1292</v>
      </c>
      <c r="F167" s="7" t="s">
        <v>1505</v>
      </c>
      <c r="G167" s="285">
        <v>15</v>
      </c>
      <c r="H167" s="35" t="s">
        <v>850</v>
      </c>
      <c r="I167" s="35" t="s">
        <v>859</v>
      </c>
      <c r="J167" s="60" cm="1">
        <f t="array" ref="J167">_xlfn.IFS(I167 = "Catastrophic", 90%, I167 = "Major", 70%, I167 = "Moderate", 50%, I167 = "Minor", 30%, I167 = "Negligible", 5%)</f>
        <v>0.5</v>
      </c>
      <c r="K167" s="123">
        <f>D166*J167</f>
        <v>75000</v>
      </c>
      <c r="L167" s="25" cm="1">
        <f t="array" ref="L167">_xlfn.IFS(H167 = "Almost Certain", 0.8, H167 = "Likely", 0.75, H167 = "Possible", 0.5, H167 = "Unlikely", 0.25, H167= "Rare", 0.1)</f>
        <v>0.75</v>
      </c>
      <c r="M167" s="95">
        <f t="shared" si="109"/>
        <v>56250</v>
      </c>
      <c r="N167" s="93">
        <f t="shared" si="110"/>
        <v>56250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8" spans="1:14" x14ac:dyDescent="0.2">
      <c r="E168" s="7" t="s">
        <v>1294</v>
      </c>
      <c r="F168" s="12" t="s">
        <v>859</v>
      </c>
      <c r="G168" s="285">
        <v>15</v>
      </c>
      <c r="H168" s="35" t="s">
        <v>838</v>
      </c>
      <c r="I168" s="35" t="s">
        <v>859</v>
      </c>
      <c r="J168" s="60" cm="1">
        <f t="array" ref="J168">_xlfn.IFS(I168 = "Catastrophic", 90%, I168 = "Major", 70%, I168 = "Moderate", 50%, I168 = "Minor", 30%, I168 = "Negligible", 5%)</f>
        <v>0.5</v>
      </c>
      <c r="K168" s="123">
        <f>D166*J168</f>
        <v>75000</v>
      </c>
      <c r="L168" s="25" cm="1">
        <f t="array" ref="L168">_xlfn.IFS(H168 = "Almost Certain", 0.8, H168 = "Likely", 0.75, H168 = "Possible", 0.5, H168 = "Unlikely", 0.25, H168= "Rare", 0.1)</f>
        <v>0.5</v>
      </c>
      <c r="M168" s="95">
        <f t="shared" si="109"/>
        <v>37500</v>
      </c>
      <c r="N168" s="93">
        <f t="shared" si="110"/>
        <v>37500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9" spans="1:14" x14ac:dyDescent="0.2">
      <c r="B169" s="617" t="s">
        <v>501</v>
      </c>
      <c r="C169" s="600" t="s">
        <v>502</v>
      </c>
      <c r="D169" s="690">
        <v>400000</v>
      </c>
      <c r="E169" s="64" t="s">
        <v>1122</v>
      </c>
      <c r="F169" s="64" t="s">
        <v>859</v>
      </c>
      <c r="G169" s="286">
        <v>20</v>
      </c>
      <c r="H169" s="35" t="s">
        <v>838</v>
      </c>
      <c r="I169" s="35" t="s">
        <v>840</v>
      </c>
      <c r="J169" s="60" cm="1">
        <f t="array" ref="J169">_xlfn.IFS(I169 = "Catastrophic", 90%, I169 = "Major", 70%, I169 = "Moderate", 50%, I169 = "Minor", 30%, I169 = "Negligible", 5%)</f>
        <v>0.7</v>
      </c>
      <c r="K169" s="123">
        <f>D169*J169</f>
        <v>280000</v>
      </c>
      <c r="L169" s="25" cm="1">
        <f t="array" ref="L169">_xlfn.IFS(H169 = "Almost Certain", 0.8, H169 = "Likely", 0.75, H169 = "Possible", 0.5, H169 = "Unlikely", 0.25, H169= "Rare", 0.1)</f>
        <v>0.5</v>
      </c>
      <c r="M169" s="95">
        <f t="shared" si="66"/>
        <v>140000</v>
      </c>
      <c r="N169" s="93">
        <f t="shared" si="110"/>
        <v>140000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0" spans="1:14" x14ac:dyDescent="0.2">
      <c r="B170" s="617" t="s">
        <v>585</v>
      </c>
      <c r="E170" s="66" t="s">
        <v>1299</v>
      </c>
      <c r="F170" s="66" t="s">
        <v>859</v>
      </c>
      <c r="G170" s="286">
        <v>15</v>
      </c>
      <c r="H170" s="35" t="s">
        <v>850</v>
      </c>
      <c r="I170" s="35" t="s">
        <v>859</v>
      </c>
      <c r="J170" s="60" cm="1">
        <f t="array" ref="J170">_xlfn.IFS(I170 = "Catastrophic", 90%, I170 = "Major", 70%, I170 = "Moderate", 50%, I170 = "Minor", 30%, I170 = "Negligible", 5%)</f>
        <v>0.5</v>
      </c>
      <c r="K170" s="123">
        <f>D169*J170</f>
        <v>200000</v>
      </c>
      <c r="L170" s="25" cm="1">
        <f t="array" ref="L170">_xlfn.IFS(H170 = "Almost Certain", 0.8, H170 = "Likely", 0.75, H170 = "Possible", 0.5, H170 = "Unlikely", 0.25, H170= "Rare", 0.1)</f>
        <v>0.75</v>
      </c>
      <c r="M170" s="95">
        <f t="shared" si="66"/>
        <v>150000</v>
      </c>
      <c r="N170" s="93">
        <f t="shared" si="110"/>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1" spans="1:14" x14ac:dyDescent="0.2">
      <c r="B171" s="617" t="s">
        <v>591</v>
      </c>
      <c r="E171" s="66" t="s">
        <v>1302</v>
      </c>
      <c r="F171" s="66" t="s">
        <v>1505</v>
      </c>
      <c r="G171" s="286">
        <v>25</v>
      </c>
      <c r="H171" s="35" t="s">
        <v>838</v>
      </c>
      <c r="I171" s="35" t="s">
        <v>840</v>
      </c>
      <c r="J171" s="60" cm="1">
        <f t="array" ref="J171">_xlfn.IFS(I171 = "Catastrophic", 90%, I171 = "Major", 70%, I171 = "Moderate", 50%, I171 = "Minor", 30%, I171 = "Negligible", 5%)</f>
        <v>0.7</v>
      </c>
      <c r="K171" s="123">
        <f>D169*J171</f>
        <v>280000</v>
      </c>
      <c r="L171" s="25" cm="1">
        <f t="array" ref="L171">_xlfn.IFS(H171 = "Almost Certain", 0.8, H171 = "Likely", 0.75, H171 = "Possible", 0.5, H171 = "Unlikely", 0.25, H171= "Rare", 0.1)</f>
        <v>0.5</v>
      </c>
      <c r="M171" s="95">
        <f t="shared" si="66"/>
        <v>140000</v>
      </c>
      <c r="N171" s="93">
        <f t="shared" si="110"/>
        <v>140000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2" spans="1:14" x14ac:dyDescent="0.2">
      <c r="B172" s="617" t="s">
        <v>506</v>
      </c>
      <c r="C172" s="600" t="s">
        <v>507</v>
      </c>
      <c r="D172" s="690">
        <v>150000</v>
      </c>
      <c r="E172" s="64" t="s">
        <v>1305</v>
      </c>
      <c r="F172" s="66" t="s">
        <v>1507</v>
      </c>
      <c r="G172" s="286">
        <v>7</v>
      </c>
      <c r="H172" s="35" t="s">
        <v>838</v>
      </c>
      <c r="I172" s="35" t="s">
        <v>993</v>
      </c>
      <c r="J172" s="60" cm="1">
        <f t="array" ref="J172">_xlfn.IFS(I172 = "Catastrophic", 90%, I172 = "Major", 70%, I172 = "Moderate", 50%, I172 = "Minor", 30%, I172 = "Negligible", 5%)</f>
        <v>0.3</v>
      </c>
      <c r="K172" s="123">
        <f>D172*J172</f>
        <v>45000</v>
      </c>
      <c r="L172" s="25" cm="1">
        <f t="array" ref="L172">_xlfn.IFS(H172 = "Almost Certain", 0.8, H172 = "Likely", 0.75, H172 = "Possible", 0.5, H172 = "Unlikely", 0.25, H172= "Rare", 0.1)</f>
        <v>0.5</v>
      </c>
      <c r="M172" s="95">
        <f t="shared" si="66"/>
        <v>22500</v>
      </c>
      <c r="N172" s="93">
        <f t="shared" si="110"/>
        <v>22500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3" spans="1:14" x14ac:dyDescent="0.2">
      <c r="B173" s="617" t="s">
        <v>605</v>
      </c>
      <c r="E173" s="66" t="s">
        <v>937</v>
      </c>
      <c r="F173" s="66" t="s">
        <v>859</v>
      </c>
      <c r="G173" s="286">
        <v>15</v>
      </c>
      <c r="H173" s="35" t="s">
        <v>850</v>
      </c>
      <c r="I173" s="35" t="s">
        <v>840</v>
      </c>
      <c r="J173" s="60" cm="1">
        <f t="array" ref="J173">_xlfn.IFS(I173 = "Catastrophic", 90%, I173 = "Major", 70%, I173 = "Moderate", 50%, I173 = "Minor", 30%, I173 = "Negligible", 5%)</f>
        <v>0.7</v>
      </c>
      <c r="K173" s="123">
        <f>D172*J173</f>
        <v>105000</v>
      </c>
      <c r="L173" s="25" cm="1">
        <f t="array" ref="L173">_xlfn.IFS(H173 = "Almost Certain", 0.8, H173 = "Likely", 0.75, H173 = "Possible", 0.5, H173 = "Unlikely", 0.25, H173= "Rare", 0.1)</f>
        <v>0.75</v>
      </c>
      <c r="M173" s="95">
        <f t="shared" si="66"/>
        <v>78750</v>
      </c>
      <c r="N173" s="93">
        <f t="shared" si="110"/>
        <v>78750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4" spans="1:14" x14ac:dyDescent="0.2">
      <c r="B174" s="617" t="s">
        <v>612</v>
      </c>
      <c r="E174" s="66" t="s">
        <v>1122</v>
      </c>
      <c r="F174" s="66" t="s">
        <v>859</v>
      </c>
      <c r="G174" s="286">
        <v>20</v>
      </c>
      <c r="H174" s="35" t="s">
        <v>838</v>
      </c>
      <c r="I174" s="35" t="s">
        <v>840</v>
      </c>
      <c r="J174" s="60" cm="1">
        <f t="array" ref="J174">_xlfn.IFS(I174 = "Catastrophic", 90%, I174 = "Major", 70%, I174 = "Moderate", 50%, I174 = "Minor", 30%, I174 = "Negligible", 5%)</f>
        <v>0.7</v>
      </c>
      <c r="K174" s="123">
        <f>D172*J174</f>
        <v>105000</v>
      </c>
      <c r="L174" s="25" cm="1">
        <f t="array" ref="L174">_xlfn.IFS(H174 = "Almost Certain", 0.8, H174 = "Likely", 0.75, H174 = "Possible", 0.5, H174 = "Unlikely", 0.25, H174= "Rare", 0.1)</f>
        <v>0.5</v>
      </c>
      <c r="M174" s="95">
        <f t="shared" si="66"/>
        <v>52500</v>
      </c>
      <c r="N174" s="93">
        <f t="shared" si="110"/>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5" spans="1:14" x14ac:dyDescent="0.2">
      <c r="B175" s="617" t="s">
        <v>513</v>
      </c>
      <c r="C175" s="600" t="s">
        <v>514</v>
      </c>
      <c r="D175" s="690">
        <v>100000</v>
      </c>
      <c r="E175" s="64" t="s">
        <v>1311</v>
      </c>
      <c r="F175" s="66" t="s">
        <v>1505</v>
      </c>
      <c r="G175" s="286">
        <v>20</v>
      </c>
      <c r="H175" s="35" t="s">
        <v>838</v>
      </c>
      <c r="I175" s="35" t="s">
        <v>859</v>
      </c>
      <c r="J175" s="60" cm="1">
        <f t="array" ref="J175">_xlfn.IFS(I175 = "Catastrophic", 90%, I175 = "Major", 70%, I175 = "Moderate", 50%, I175 = "Minor", 30%, I175 = "Negligible", 5%)</f>
        <v>0.5</v>
      </c>
      <c r="K175" s="123">
        <f>D175*J175</f>
        <v>50000</v>
      </c>
      <c r="L175" s="25" cm="1">
        <f t="array" ref="L175">_xlfn.IFS(H175 = "Almost Certain", 0.8, H175 = "Likely", 0.75, H175 = "Possible", 0.5, H175 = "Unlikely", 0.25, H175= "Rare", 0.1)</f>
        <v>0.5</v>
      </c>
      <c r="M175" s="95">
        <f t="shared" si="66"/>
        <v>25000</v>
      </c>
      <c r="N175" s="93">
        <f>M175</f>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6" spans="1:14" x14ac:dyDescent="0.2">
      <c r="B176" s="617" t="s">
        <v>626</v>
      </c>
      <c r="E176" s="66" t="s">
        <v>912</v>
      </c>
      <c r="F176" s="66" t="s">
        <v>859</v>
      </c>
      <c r="G176" s="286">
        <v>15</v>
      </c>
      <c r="H176" s="35" t="s">
        <v>838</v>
      </c>
      <c r="I176" s="35" t="s">
        <v>993</v>
      </c>
      <c r="J176" s="60" cm="1">
        <f t="array" ref="J176">_xlfn.IFS(I176 = "Catastrophic", 90%, I176 = "Major", 70%, I176 = "Moderate", 50%, I176 = "Minor", 30%, I176 = "Negligible", 5%)</f>
        <v>0.3</v>
      </c>
      <c r="K176" s="123">
        <f>D175*J176</f>
        <v>30000</v>
      </c>
      <c r="L176" s="25" cm="1">
        <f t="array" ref="L176">_xlfn.IFS(H176 = "Almost Certain", 0.8, H176 = "Likely", 0.75, H176 = "Possible", 0.5, H176 = "Unlikely", 0.25, H176= "Rare", 0.1)</f>
        <v>0.5</v>
      </c>
      <c r="M176" s="95">
        <f t="shared" si="66"/>
        <v>15000</v>
      </c>
      <c r="N176" s="93">
        <f t="shared" si="110"/>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7" spans="1:14" x14ac:dyDescent="0.2">
      <c r="B177" s="622" t="s">
        <v>632</v>
      </c>
      <c r="E177" s="66" t="s">
        <v>1315</v>
      </c>
      <c r="F177" s="66" t="s">
        <v>859</v>
      </c>
      <c r="G177" s="286">
        <v>20</v>
      </c>
      <c r="H177" s="35" t="s">
        <v>850</v>
      </c>
      <c r="I177" s="35" t="s">
        <v>859</v>
      </c>
      <c r="J177" s="60" cm="1">
        <f t="array" ref="J177">_xlfn.IFS(I177 = "Catastrophic", 90%, I177 = "Major", 70%, I177 = "Moderate", 50%, I177 = "Minor", 30%, I177 = "Negligible", 5%)</f>
        <v>0.5</v>
      </c>
      <c r="K177" s="123">
        <f>D175*J177</f>
        <v>50000</v>
      </c>
      <c r="L177" s="25" cm="1">
        <f t="array" ref="L177">_xlfn.IFS(H177 = "Almost Certain", 0.8, H177 = "Likely", 0.75, H177 = "Possible", 0.5, H177 = "Unlikely", 0.25, H177= "Rare", 0.1)</f>
        <v>0.75</v>
      </c>
      <c r="M177" s="95">
        <f t="shared" si="66"/>
        <v>37500</v>
      </c>
      <c r="N177" s="93">
        <f t="shared" si="110"/>
        <v>37500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8" spans="1:14" x14ac:dyDescent="0.2">
      <c r="B178" s="617" t="s">
        <v>518</v>
      </c>
      <c r="C178" s="600" t="s">
        <v>519</v>
      </c>
      <c r="D178" s="696">
        <v>50000</v>
      </c>
      <c r="E178" s="65" t="s">
        <v>1317</v>
      </c>
      <c r="F178" s="66" t="s">
        <v>859</v>
      </c>
      <c r="G178" s="286">
        <v>30</v>
      </c>
      <c r="H178" s="35" t="s">
        <v>1025</v>
      </c>
      <c r="I178" s="35" t="s">
        <v>859</v>
      </c>
      <c r="J178" s="60" cm="1">
        <f t="array" ref="J178">_xlfn.IFS(I178 = "Catastrophic", 90%, I178 = "Major", 70%, I178 = "Moderate", 50%, I178 = "Minor", 30%, I178 = "Negligible", 5%)</f>
        <v>0.5</v>
      </c>
      <c r="K178" s="123">
        <f>D178*J178</f>
        <v>25000</v>
      </c>
      <c r="L178" s="25" cm="1">
        <f t="array" ref="L178">_xlfn.IFS(H178 = "Almost Certain", 0.8, H178 = "Likely", 0.75, H178 = "Possible", 0.5, H178 = "Unlikely", 0.25, H178= "Rare", 0.1)</f>
        <v>0.25</v>
      </c>
      <c r="M178" s="95">
        <f t="shared" si="66"/>
        <v>6250</v>
      </c>
      <c r="N178" s="93">
        <f t="shared" si="110"/>
        <v>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9" spans="1:14" x14ac:dyDescent="0.2">
      <c r="E179" s="67" t="s">
        <v>1320</v>
      </c>
      <c r="F179" s="66" t="s">
        <v>1507</v>
      </c>
      <c r="G179" s="286">
        <v>7</v>
      </c>
      <c r="H179" s="35" t="s">
        <v>838</v>
      </c>
      <c r="I179" s="35" t="s">
        <v>993</v>
      </c>
      <c r="J179" s="60" cm="1">
        <f t="array" ref="J179">_xlfn.IFS(I179 = "Catastrophic", 90%, I179 = "Major", 70%, I179 = "Moderate", 50%, I179 = "Minor", 30%, I179 = "Negligible", 5%)</f>
        <v>0.3</v>
      </c>
      <c r="K179" s="123">
        <f>D178*J179</f>
        <v>15000</v>
      </c>
      <c r="L179" s="25" cm="1">
        <f t="array" ref="L179">_xlfn.IFS(H179 = "Almost Certain", 0.8, H179 = "Likely", 0.75, H179 = "Possible", 0.5, H179 = "Unlikely", 0.25, H179= "Rare", 0.1)</f>
        <v>0.5</v>
      </c>
      <c r="M179" s="95">
        <f>K179*L179</f>
        <v>7500</v>
      </c>
      <c r="N179" s="93">
        <f>M179</f>
        <v>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0" spans="1:14" x14ac:dyDescent="0.2">
      <c r="E180" s="67" t="s">
        <v>1322</v>
      </c>
      <c r="F180" s="66" t="s">
        <v>1507</v>
      </c>
      <c r="G180" s="286">
        <v>10</v>
      </c>
      <c r="H180" s="35" t="s">
        <v>850</v>
      </c>
      <c r="I180" s="35" t="s">
        <v>993</v>
      </c>
      <c r="J180" s="60" cm="1">
        <f t="array" ref="J180">_xlfn.IFS(I180 = "Catastrophic", 90%, I180 = "Major", 70%, I180 = "Moderate", 50%, I180 = "Minor", 30%, I180 = "Negligible", 5%)</f>
        <v>0.3</v>
      </c>
      <c r="K180" s="123">
        <f>D178*J180</f>
        <v>15000</v>
      </c>
      <c r="L180" s="25" cm="1">
        <f t="array" ref="L180">_xlfn.IFS(H180 = "Almost Certain", 0.8, H180 = "Likely", 0.75, H180 = "Possible", 0.5, H180 = "Unlikely", 0.25, H180= "Rare", 0.1)</f>
        <v>0.75</v>
      </c>
      <c r="M180" s="95">
        <f t="shared" si="66"/>
        <v>11250</v>
      </c>
      <c r="N180" s="93">
        <f>M180</f>
        <v>11250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2" spans="1:14" ht="14.5" customHeight="1" x14ac:dyDescent="0.2">
      <c r="A182" s="697" t="s">
        <v>523</v>
      </c>
      <c r="B182" s="698" t="s">
        <v>526</v>
      </c>
      <c r="C182" s="699" t="s">
        <v>527</v>
      </c>
      <c r="D182" s="85">
        <v>10000000</v>
      </c>
      <c r="E182" s="26" t="s">
        <v>1197</v>
      </c>
      <c r="F182" s="27" t="s">
        <v>1505</v>
      </c>
      <c r="G182" s="282">
        <v>90</v>
      </c>
      <c r="H182" s="4" t="s">
        <v>838</v>
      </c>
      <c r="I182" s="116" t="s">
        <v>840</v>
      </c>
      <c r="J182" s="118" cm="1">
        <f t="array" ref="J182">_xlfn.IFS(I182 = "Catastrophic", 90%, I182 = "Major", 70%, I182 = "Moderate", 50%, I182 = "Minor", 30%, I182 = "Negligible", 5%)</f>
        <v>0.7</v>
      </c>
      <c r="K182" s="125">
        <f t="shared" ref="K182:K244" si="111">D182*J182</f>
        <v>7000000</v>
      </c>
      <c r="L182" s="25" cm="1">
        <f t="array" ref="L182">_xlfn.IFS(H182 = "Almost Certain", 0.8, H182 = "Likely", 0.75, H182 = "Possible", 0.5, H182 = "Unlikely", 0.25, H182= "Rare", 0.1)</f>
        <v>0.5</v>
      </c>
      <c r="M182" s="97">
        <f t="shared" ref="M182:M230" si="112">K182*L182</f>
        <v>3500000</v>
      </c>
      <c r="N182" s="97">
        <f t="shared" ref="N182:N244" si="113">M182</f>
        <v>3500000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3" spans="1:14" ht="16" x14ac:dyDescent="0.2">
      <c r="D183" s="85">
        <v>10000000</v>
      </c>
      <c r="E183" s="26" t="s">
        <v>1326</v>
      </c>
      <c r="F183" s="27" t="s">
        <v>1505</v>
      </c>
      <c r="G183" s="282">
        <v>30</v>
      </c>
      <c r="H183" s="4" t="s">
        <v>838</v>
      </c>
      <c r="I183" s="116" t="s">
        <v>840</v>
      </c>
      <c r="J183" s="118" cm="1">
        <f t="array" ref="J183">_xlfn.IFS(I183 = "Catastrophic", 90%, I183 = "Major", 70%, I183 = "Moderate", 50%, I183 = "Minor", 30%, I183 = "Negligible", 5%)</f>
        <v>0.7</v>
      </c>
      <c r="K183" s="125">
        <f>D183*J183</f>
        <v>7000000</v>
      </c>
      <c r="L183" s="25" cm="1">
        <f t="array" ref="L183">_xlfn.IFS(H183 = "Almost Certain", 0.8, H183 = "Likely", 0.75, H183 = "Possible", 0.5, H183 = "Unlikely", 0.25, H183= "Rare", 0.1)</f>
        <v>0.5</v>
      </c>
      <c r="M183" s="97">
        <f t="shared" si="112"/>
        <v>3500000</v>
      </c>
      <c r="N183" s="97">
        <f t="shared" si="113"/>
        <v>3500000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4" spans="1:14" ht="16" x14ac:dyDescent="0.2">
      <c r="D184" s="85">
        <v>10000000</v>
      </c>
      <c r="E184" s="26" t="s">
        <v>1329</v>
      </c>
      <c r="F184" s="27" t="s">
        <v>1505</v>
      </c>
      <c r="G184" s="282">
        <v>30</v>
      </c>
      <c r="H184" s="4" t="s">
        <v>1233</v>
      </c>
      <c r="I184" s="4" t="s">
        <v>839</v>
      </c>
      <c r="J184" s="118" cm="1">
        <f t="array" ref="J184">_xlfn.IFS(I184 = "Catastrophic", 90%, I184 = "Major", 70%, I184 = "Moderate", 50%, I184 = "Minor", 30%, I184 = "Negligible", 5%)</f>
        <v>0.9</v>
      </c>
      <c r="K184" s="125">
        <f t="shared" si="111"/>
        <v>9000000</v>
      </c>
      <c r="L184" s="25" cm="1">
        <f t="array" ref="L184">_xlfn.IFS(H184 = "Almost Certain", 0.8, H184 = "Likely", 0.75, H184 = "Possible", 0.5, H184 = "Unlikely", 0.25, H184= "Rare", 0.1)</f>
        <v>0.1</v>
      </c>
      <c r="M184" s="97">
        <f t="shared" si="112"/>
        <v>900000</v>
      </c>
      <c r="N184" s="97">
        <f t="shared" si="113"/>
        <v>900000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5" spans="1:14" ht="16" x14ac:dyDescent="0.2">
      <c r="D185" s="85">
        <v>10000000</v>
      </c>
      <c r="E185" s="26" t="s">
        <v>1333</v>
      </c>
      <c r="F185" s="27" t="s">
        <v>1507</v>
      </c>
      <c r="G185" s="282">
        <v>14</v>
      </c>
      <c r="H185" s="4" t="s">
        <v>1233</v>
      </c>
      <c r="I185" s="116" t="s">
        <v>993</v>
      </c>
      <c r="J185" s="118" cm="1">
        <f t="array" ref="J185">_xlfn.IFS(I185 = "Catastrophic", 90%, I185 = "Major", 70%, I185 = "Moderate", 50%, I185 = "Minor", 30%, I185 = "Negligible", 5%)</f>
        <v>0.3</v>
      </c>
      <c r="K185" s="125">
        <f t="shared" si="111"/>
        <v>3000000</v>
      </c>
      <c r="L185" s="25" cm="1">
        <f t="array" ref="L185">_xlfn.IFS(H185 = "Almost Certain", 0.8, H185 = "Likely", 0.75, H185 = "Possible", 0.5, H185 = "Unlikely", 0.25, H185= "Rare", 0.1)</f>
        <v>0.1</v>
      </c>
      <c r="M185" s="97">
        <f t="shared" si="112"/>
        <v>300000</v>
      </c>
      <c r="N185" s="97">
        <f t="shared" si="113"/>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6" spans="1:14" ht="16" x14ac:dyDescent="0.2">
      <c r="D186" s="85">
        <v>10000000</v>
      </c>
      <c r="E186" s="26" t="s">
        <v>1336</v>
      </c>
      <c r="F186" s="27" t="s">
        <v>1507</v>
      </c>
      <c r="G186" s="282">
        <v>14</v>
      </c>
      <c r="H186" s="4" t="s">
        <v>1233</v>
      </c>
      <c r="I186" s="116" t="s">
        <v>839</v>
      </c>
      <c r="J186" s="118" cm="1">
        <f t="array" ref="J186">_xlfn.IFS(I186 = "Catastrophic", 90%, I186 = "Major", 70%, I186 = "Moderate", 50%, I186 = "Minor", 30%, I186 = "Negligible", 5%)</f>
        <v>0.9</v>
      </c>
      <c r="K186" s="125">
        <f t="shared" si="111"/>
        <v>9000000</v>
      </c>
      <c r="L186" s="25" cm="1">
        <f t="array" ref="L186">_xlfn.IFS(H186 = "Almost Certain", 0.8, H186 = "Likely", 0.75, H186 = "Possible", 0.5, H186 = "Unlikely", 0.25, H186= "Rare", 0.1)</f>
        <v>0.1</v>
      </c>
      <c r="M186" s="97">
        <f t="shared" si="112"/>
        <v>900000</v>
      </c>
      <c r="N186" s="97">
        <f t="shared" si="113"/>
        <v>900000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7" spans="1:14" ht="16" x14ac:dyDescent="0.2">
      <c r="D187" s="85">
        <v>10000000</v>
      </c>
      <c r="E187" s="26" t="s">
        <v>1343</v>
      </c>
      <c r="F187" s="27" t="s">
        <v>1505</v>
      </c>
      <c r="G187" s="282">
        <v>90</v>
      </c>
      <c r="H187" s="4" t="s">
        <v>1025</v>
      </c>
      <c r="I187" s="4" t="s">
        <v>840</v>
      </c>
      <c r="J187" s="118" cm="1">
        <f t="array" ref="J187">_xlfn.IFS(I187 = "Catastrophic", 90%, I187 = "Major", 70%, I187 = "Moderate", 50%, I187 = "Minor", 30%, I187 = "Negligible", 5%)</f>
        <v>0.7</v>
      </c>
      <c r="K187" s="125">
        <f>D187*J187</f>
        <v>7000000</v>
      </c>
      <c r="L187" s="25" cm="1">
        <f t="array" ref="L187">_xlfn.IFS(H187 = "Almost Certain", 0.8, H187 = "Likely", 0.75, H187 = "Possible", 0.5, H187 = "Unlikely", 0.25, H187= "Rare", 0.1)</f>
        <v>0.25</v>
      </c>
      <c r="M187" s="97">
        <f>K187*L187</f>
        <v>1750000</v>
      </c>
      <c r="N187" s="97">
        <f>M187</f>
        <v>1750000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8" spans="1:14" ht="16" x14ac:dyDescent="0.2">
      <c r="D188" s="85">
        <v>10000000</v>
      </c>
      <c r="E188" s="26" t="s">
        <v>1345</v>
      </c>
      <c r="F188" s="27" t="s">
        <v>859</v>
      </c>
      <c r="G188" s="282">
        <v>30</v>
      </c>
      <c r="H188" s="4" t="s">
        <v>1233</v>
      </c>
      <c r="I188" s="4" t="s">
        <v>859</v>
      </c>
      <c r="J188" s="118" cm="1">
        <f t="array" ref="J188">_xlfn.IFS(I188 = "Catastrophic", 90%, I188 = "Major", 70%, I188 = "Moderate", 50%, I188 = "Minor", 30%, I188 = "Negligible", 5%)</f>
        <v>0.5</v>
      </c>
      <c r="K188" s="125">
        <f>D188*J188</f>
        <v>5000000</v>
      </c>
      <c r="L188" s="25" cm="1">
        <f t="array" ref="L188">_xlfn.IFS(H188 = "Almost Certain", 0.8, H188 = "Likely", 0.75, H188 = "Possible", 0.5, H188 = "Unlikely", 0.25, H188= "Rare", 0.1)</f>
        <v>0.1</v>
      </c>
      <c r="M188" s="97">
        <f>K188*L188</f>
        <v>500000</v>
      </c>
      <c r="N188" s="97">
        <f>M188</f>
        <v>500000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9" spans="1:14" ht="16" x14ac:dyDescent="0.2">
      <c r="D189" s="85">
        <v>10000000</v>
      </c>
      <c r="E189" s="26" t="s">
        <v>1339</v>
      </c>
      <c r="F189" s="27" t="s">
        <v>1507</v>
      </c>
      <c r="G189" s="282">
        <v>7</v>
      </c>
      <c r="H189" s="4" t="s">
        <v>850</v>
      </c>
      <c r="I189" s="4" t="s">
        <v>993</v>
      </c>
      <c r="J189" s="118" cm="1">
        <f t="array" ref="J189">_xlfn.IFS(I189 = "Catastrophic", 90%, I189 = "Major", 70%, I189 = "Moderate", 50%, I189 = "Minor", 30%, I189 = "Negligible", 5%)</f>
        <v>0.3</v>
      </c>
      <c r="K189" s="125">
        <f t="shared" si="111"/>
        <v>3000000</v>
      </c>
      <c r="L189" s="25" cm="1">
        <f t="array" ref="L189">_xlfn.IFS(H189 = "Almost Certain", 0.8, H189 = "Likely", 0.75, H189 = "Possible", 0.5, H189 = "Unlikely", 0.25, H189= "Rare", 0.1)</f>
        <v>0.75</v>
      </c>
      <c r="M189" s="97">
        <f t="shared" si="112"/>
        <v>2250000</v>
      </c>
      <c r="N189" s="97">
        <f t="shared" si="113"/>
        <v>2250000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0" spans="1:14" ht="14.5" customHeight="1" x14ac:dyDescent="0.2">
      <c r="B190" s="643" t="s">
        <v>534</v>
      </c>
      <c r="C190" s="640" t="s">
        <v>535</v>
      </c>
      <c r="D190" s="86">
        <v>1000000</v>
      </c>
      <c r="E190" s="26" t="s">
        <v>1197</v>
      </c>
      <c r="F190" s="27" t="s">
        <v>1505</v>
      </c>
      <c r="G190" s="282">
        <v>90</v>
      </c>
      <c r="H190" s="4" t="s">
        <v>1233</v>
      </c>
      <c r="I190" s="116" t="s">
        <v>993</v>
      </c>
      <c r="J190" s="118" cm="1">
        <f t="array" ref="J190">_xlfn.IFS(I190 = "Catastrophic", 90%, I190 = "Major", 70%, I190 = "Moderate", 50%, I190 = "Minor", 30%, I190 = "Negligible", 5%)</f>
        <v>0.3</v>
      </c>
      <c r="K190" s="125">
        <f t="shared" si="111"/>
        <v>300000</v>
      </c>
      <c r="L190" s="25" cm="1">
        <f t="array" ref="L190">_xlfn.IFS(H190 = "Almost Certain", 0.8, H190 = "Likely", 0.75, H190 = "Possible", 0.5, H190 = "Unlikely", 0.25, H190= "Rare", 0.1)</f>
        <v>0.1</v>
      </c>
      <c r="M190" s="97">
        <f t="shared" si="112"/>
        <v>30000</v>
      </c>
      <c r="N190" s="97">
        <f t="shared" si="11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1" spans="1:14" ht="16" x14ac:dyDescent="0.2">
      <c r="D191" s="86">
        <v>1000000</v>
      </c>
      <c r="E191" s="26" t="s">
        <v>1326</v>
      </c>
      <c r="F191" s="27" t="s">
        <v>1505</v>
      </c>
      <c r="G191" s="282">
        <v>30</v>
      </c>
      <c r="H191" s="4" t="s">
        <v>1233</v>
      </c>
      <c r="I191" s="116" t="s">
        <v>993</v>
      </c>
      <c r="J191" s="118" cm="1">
        <f t="array" ref="J191">_xlfn.IFS(I191 = "Catastrophic", 90%, I191 = "Major", 70%, I191 = "Moderate", 50%, I191 = "Minor", 30%, I191 = "Negligible", 5%)</f>
        <v>0.3</v>
      </c>
      <c r="K191" s="125">
        <f t="shared" si="111"/>
        <v>300000</v>
      </c>
      <c r="L191" s="25" cm="1">
        <f t="array" ref="L191">_xlfn.IFS(H191 = "Almost Certain", 0.8, H191 = "Likely", 0.75, H191 = "Possible", 0.5, H191 = "Unlikely", 0.25, H191= "Rare", 0.1)</f>
        <v>0.1</v>
      </c>
      <c r="M191" s="97">
        <f t="shared" si="112"/>
        <v>30000</v>
      </c>
      <c r="N191" s="97">
        <f t="shared" si="11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2" spans="1:14" ht="16" x14ac:dyDescent="0.2">
      <c r="D192" s="86">
        <v>1000000</v>
      </c>
      <c r="E192" s="26" t="s">
        <v>1329</v>
      </c>
      <c r="F192" s="27" t="s">
        <v>1505</v>
      </c>
      <c r="G192" s="282">
        <v>30</v>
      </c>
      <c r="H192" s="4" t="s">
        <v>838</v>
      </c>
      <c r="I192" s="257" t="s">
        <v>840</v>
      </c>
      <c r="J192" s="118" cm="1">
        <f t="array" ref="J192">_xlfn.IFS(I192 = "Catastrophic", 90%, I192 = "Major", 70%, I192 = "Moderate", 50%, I192 = "Minor", 30%, I192 = "Negligible", 5%)</f>
        <v>0.7</v>
      </c>
      <c r="K192" s="125">
        <f t="shared" si="111"/>
        <v>700000</v>
      </c>
      <c r="L192" s="25" cm="1">
        <f t="array" ref="L192">_xlfn.IFS(H192 = "Almost Certain", 0.8, H192 = "Likely", 0.75, H192 = "Possible", 0.5, H192 = "Unlikely", 0.25, H192= "Rare", 0.1)</f>
        <v>0.5</v>
      </c>
      <c r="M192" s="97">
        <f t="shared" si="112"/>
        <v>350000</v>
      </c>
      <c r="N192" s="97">
        <f t="shared" si="113"/>
        <v>350000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3" spans="1:14" ht="16" x14ac:dyDescent="0.2">
      <c r="D193" s="86">
        <v>1000000</v>
      </c>
      <c r="E193" s="26" t="s">
        <v>1333</v>
      </c>
      <c r="F193" s="27" t="s">
        <v>1507</v>
      </c>
      <c r="G193" s="282">
        <v>14</v>
      </c>
      <c r="H193" s="4" t="s">
        <v>1233</v>
      </c>
      <c r="I193" s="4" t="s">
        <v>859</v>
      </c>
      <c r="J193" s="118" cm="1">
        <f t="array" ref="J193">_xlfn.IFS(I193 = "Catastrophic", 90%, I193 = "Major", 70%, I193 = "Moderate", 50%, I193 = "Minor", 30%, I193 = "Negligible", 5%)</f>
        <v>0.5</v>
      </c>
      <c r="K193" s="125">
        <f t="shared" si="111"/>
        <v>500000</v>
      </c>
      <c r="L193" s="25" cm="1">
        <f t="array" ref="L193">_xlfn.IFS(H193 = "Almost Certain", 0.8, H193 = "Likely", 0.75, H193 = "Possible", 0.5, H193 = "Unlikely", 0.25, H193= "Rare", 0.1)</f>
        <v>0.1</v>
      </c>
      <c r="M193" s="97">
        <f t="shared" si="112"/>
        <v>50000</v>
      </c>
      <c r="N193" s="97">
        <f t="shared" si="113"/>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4" spans="1:14" ht="16" x14ac:dyDescent="0.2">
      <c r="D194" s="86">
        <v>1000000</v>
      </c>
      <c r="E194" s="26" t="s">
        <v>1336</v>
      </c>
      <c r="F194" s="27" t="s">
        <v>1507</v>
      </c>
      <c r="G194" s="282">
        <v>14</v>
      </c>
      <c r="H194" s="4" t="s">
        <v>1233</v>
      </c>
      <c r="I194" s="4" t="s">
        <v>840</v>
      </c>
      <c r="J194" s="118" cm="1">
        <f t="array" ref="J194">_xlfn.IFS(I194 = "Catastrophic", 90%, I194 = "Major", 70%, I194 = "Moderate", 50%, I194 = "Minor", 30%, I194 = "Negligible", 5%)</f>
        <v>0.7</v>
      </c>
      <c r="K194" s="125">
        <f t="shared" si="111"/>
        <v>700000</v>
      </c>
      <c r="L194" s="25" cm="1">
        <f t="array" ref="L194">_xlfn.IFS(H194 = "Almost Certain", 0.8, H194 = "Likely", 0.75, H194 = "Possible", 0.5, H194 = "Unlikely", 0.25, H194= "Rare", 0.1)</f>
        <v>0.1</v>
      </c>
      <c r="M194" s="97">
        <f t="shared" si="112"/>
        <v>70000</v>
      </c>
      <c r="N194" s="97">
        <f t="shared" si="113"/>
        <v>70000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5" spans="1:14" ht="16" x14ac:dyDescent="0.2">
      <c r="D195" s="86">
        <v>1000000</v>
      </c>
      <c r="E195" s="26" t="s">
        <v>1343</v>
      </c>
      <c r="F195" s="27" t="s">
        <v>1505</v>
      </c>
      <c r="G195" s="282">
        <v>90</v>
      </c>
      <c r="H195" s="4" t="s">
        <v>1233</v>
      </c>
      <c r="I195" s="257" t="s">
        <v>993</v>
      </c>
      <c r="J195" s="118" cm="1">
        <f t="array" ref="J195">_xlfn.IFS(I195 = "Catastrophic", 90%, I195 = "Major", 70%, I195 = "Moderate", 50%, I195 = "Minor", 30%, I195 = "Negligible", 5%)</f>
        <v>0.3</v>
      </c>
      <c r="K195" s="125">
        <f t="shared" si="111"/>
        <v>300000</v>
      </c>
      <c r="L195" s="25" cm="1">
        <f t="array" ref="L195">_xlfn.IFS(H195 = "Almost Certain", 0.8, H195 = "Likely", 0.75, H195 = "Possible", 0.5, H195 = "Unlikely", 0.25, H195= "Rare", 0.1)</f>
        <v>0.1</v>
      </c>
      <c r="M195" s="97">
        <f t="shared" si="112"/>
        <v>30000</v>
      </c>
      <c r="N195" s="97">
        <f t="shared" si="11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6" spans="1:14" ht="16" x14ac:dyDescent="0.2">
      <c r="D196" s="86">
        <v>1000000</v>
      </c>
      <c r="E196" s="26" t="s">
        <v>1345</v>
      </c>
      <c r="F196" s="27" t="s">
        <v>1507</v>
      </c>
      <c r="G196" s="282">
        <v>30</v>
      </c>
      <c r="H196" s="4" t="s">
        <v>838</v>
      </c>
      <c r="I196" s="257" t="s">
        <v>840</v>
      </c>
      <c r="J196" s="118" cm="1">
        <f t="array" ref="J196">_xlfn.IFS(I196 = "Catastrophic", 90%, I196 = "Major", 70%, I196 = "Moderate", 50%, I196 = "Minor", 30%, I196 = "Negligible", 5%)</f>
        <v>0.7</v>
      </c>
      <c r="K196" s="125">
        <f>D196*J196</f>
        <v>700000</v>
      </c>
      <c r="L196" s="25" cm="1">
        <f t="array" ref="L196">_xlfn.IFS(H196 = "Almost Certain", 0.8, H196 = "Likely", 0.75, H196 = "Possible", 0.5, H196 = "Unlikely", 0.25, H196= "Rare", 0.1)</f>
        <v>0.5</v>
      </c>
      <c r="M196" s="97">
        <f>K196*L196</f>
        <v>350000</v>
      </c>
      <c r="N196" s="97">
        <f>M196</f>
        <v>350000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7" spans="1:14" ht="14.5" customHeight="1" x14ac:dyDescent="0.2">
      <c r="B197" s="698" t="s">
        <v>541</v>
      </c>
      <c r="C197" s="699" t="s">
        <v>542</v>
      </c>
      <c r="D197" s="86">
        <v>1000000</v>
      </c>
      <c r="E197" s="26" t="s">
        <v>1197</v>
      </c>
      <c r="F197" s="27" t="s">
        <v>1505</v>
      </c>
      <c r="G197" s="282">
        <v>90</v>
      </c>
      <c r="H197" s="4" t="s">
        <v>1233</v>
      </c>
      <c r="I197" s="257" t="s">
        <v>993</v>
      </c>
      <c r="J197" s="118" cm="1">
        <f t="array" ref="J197">_xlfn.IFS(I197 = "Catastrophic", 90%, I197 = "Major", 70%, I197 = "Moderate", 50%, I197 = "Minor", 30%, I197 = "Negligible", 5%)</f>
        <v>0.3</v>
      </c>
      <c r="K197" s="125">
        <f t="shared" si="111"/>
        <v>300000</v>
      </c>
      <c r="L197" s="25" cm="1">
        <f t="array" ref="L197">_xlfn.IFS(H197 = "Almost Certain", 0.8, H197 = "Likely", 0.75, H197 = "Possible", 0.5, H197 = "Unlikely", 0.25, H197= "Rare", 0.1)</f>
        <v>0.1</v>
      </c>
      <c r="M197" s="97">
        <f t="shared" si="112"/>
        <v>30000</v>
      </c>
      <c r="N197" s="97">
        <f t="shared" si="11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8" spans="1:14" ht="16" x14ac:dyDescent="0.2">
      <c r="D198" s="86">
        <v>1000000</v>
      </c>
      <c r="E198" s="26" t="s">
        <v>1326</v>
      </c>
      <c r="F198" s="27" t="s">
        <v>1505</v>
      </c>
      <c r="G198" s="282">
        <v>30</v>
      </c>
      <c r="H198" s="4" t="s">
        <v>1025</v>
      </c>
      <c r="I198" s="4" t="s">
        <v>840</v>
      </c>
      <c r="J198" s="118" cm="1">
        <f t="array" ref="J198">_xlfn.IFS(I198 = "Catastrophic", 90%, I198 = "Major", 70%, I198 = "Moderate", 50%, I198 = "Minor", 30%, I198 = "Negligible", 5%)</f>
        <v>0.7</v>
      </c>
      <c r="K198" s="125">
        <f t="shared" si="111"/>
        <v>700000</v>
      </c>
      <c r="L198" s="25" cm="1">
        <f t="array" ref="L198">_xlfn.IFS(H198 = "Almost Certain", 0.8, H198 = "Likely", 0.75, H198 = "Possible", 0.5, H198 = "Unlikely", 0.25, H198= "Rare", 0.1)</f>
        <v>0.25</v>
      </c>
      <c r="M198" s="97">
        <f t="shared" si="112"/>
        <v>175000</v>
      </c>
      <c r="N198" s="97">
        <f t="shared" si="113"/>
        <v>175000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9" spans="1:14" ht="16" x14ac:dyDescent="0.2">
      <c r="D199" s="86">
        <v>1000000</v>
      </c>
      <c r="E199" s="26" t="s">
        <v>1329</v>
      </c>
      <c r="F199" s="27" t="s">
        <v>1505</v>
      </c>
      <c r="G199" s="282">
        <v>30</v>
      </c>
      <c r="H199" s="4" t="s">
        <v>1233</v>
      </c>
      <c r="I199" s="4" t="s">
        <v>859</v>
      </c>
      <c r="J199" s="118" cm="1">
        <f t="array" ref="J199">_xlfn.IFS(I199 = "Catastrophic", 90%, I199 = "Major", 70%, I199 = "Moderate", 50%, I199 = "Minor", 30%, I199 = "Negligible", 5%)</f>
        <v>0.5</v>
      </c>
      <c r="K199" s="125">
        <f t="shared" si="111"/>
        <v>500000</v>
      </c>
      <c r="L199" s="25" cm="1">
        <f t="array" ref="L199">_xlfn.IFS(H199 = "Almost Certain", 0.8, H199 = "Likely", 0.75, H199 = "Possible", 0.5, H199 = "Unlikely", 0.25, H199= "Rare", 0.1)</f>
        <v>0.1</v>
      </c>
      <c r="M199" s="97">
        <f t="shared" si="112"/>
        <v>50000</v>
      </c>
      <c r="N199" s="97">
        <f t="shared" si="113"/>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0" spans="1:14" ht="16" x14ac:dyDescent="0.2">
      <c r="D200" s="86">
        <v>1000000</v>
      </c>
      <c r="E200" s="26" t="s">
        <v>1333</v>
      </c>
      <c r="F200" s="27" t="s">
        <v>1507</v>
      </c>
      <c r="G200" s="282">
        <v>14</v>
      </c>
      <c r="H200" s="4" t="s">
        <v>1233</v>
      </c>
      <c r="I200" s="257" t="s">
        <v>993</v>
      </c>
      <c r="J200" s="118" cm="1">
        <f t="array" ref="J200">_xlfn.IFS(I200 = "Catastrophic", 90%, I200 = "Major", 70%, I200 = "Moderate", 50%, I200 = "Minor", 30%, I200 = "Negligible", 5%)</f>
        <v>0.3</v>
      </c>
      <c r="K200" s="125">
        <f t="shared" si="111"/>
        <v>300000</v>
      </c>
      <c r="L200" s="25" cm="1">
        <f t="array" ref="L200">_xlfn.IFS(H200 = "Almost Certain", 0.8, H200 = "Likely", 0.75, H200 = "Possible", 0.5, H200 = "Unlikely", 0.25, H200= "Rare", 0.1)</f>
        <v>0.1</v>
      </c>
      <c r="M200" s="97">
        <f t="shared" si="112"/>
        <v>30000</v>
      </c>
      <c r="N200" s="97">
        <f t="shared" si="11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1" spans="1:14" ht="16" x14ac:dyDescent="0.2">
      <c r="D201" s="86">
        <v>1000000</v>
      </c>
      <c r="E201" s="26" t="s">
        <v>1336</v>
      </c>
      <c r="F201" s="27" t="s">
        <v>1507</v>
      </c>
      <c r="G201" s="282">
        <v>14</v>
      </c>
      <c r="H201" s="165" t="s">
        <v>1233</v>
      </c>
      <c r="I201" s="257" t="s">
        <v>993</v>
      </c>
      <c r="J201" s="118" cm="1">
        <f t="array" ref="J201">_xlfn.IFS(I201 = "Catastrophic", 90%, I201 = "Major", 70%, I201 = "Moderate", 50%, I201 = "Minor", 30%, I201 = "Negligible", 5%)</f>
        <v>0.3</v>
      </c>
      <c r="K201" s="125">
        <f t="shared" si="111"/>
        <v>300000</v>
      </c>
      <c r="L201" s="25" cm="1">
        <f t="array" ref="L201">_xlfn.IFS(H201 = "Almost Certain", 0.8, H201 = "Likely", 0.75, H201 = "Possible", 0.5, H201 = "Unlikely", 0.25, H201= "Rare", 0.1)</f>
        <v>0.1</v>
      </c>
      <c r="M201" s="97">
        <f t="shared" si="112"/>
        <v>30000</v>
      </c>
      <c r="N201" s="97">
        <f t="shared" si="11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2" spans="1:14" ht="16" x14ac:dyDescent="0.2">
      <c r="D202" s="86">
        <v>1000000</v>
      </c>
      <c r="E202" s="26" t="s">
        <v>1343</v>
      </c>
      <c r="F202" s="27" t="s">
        <v>1505</v>
      </c>
      <c r="G202" s="282">
        <v>90</v>
      </c>
      <c r="H202" s="165" t="s">
        <v>1233</v>
      </c>
      <c r="I202" s="116" t="s">
        <v>859</v>
      </c>
      <c r="J202" s="118" cm="1">
        <f t="array" ref="J202">_xlfn.IFS(I202 = "Catastrophic", 90%, I202 = "Major", 70%, I202 = "Moderate", 50%, I202 = "Minor", 30%, I202 = "Negligible", 5%)</f>
        <v>0.5</v>
      </c>
      <c r="K202" s="125">
        <f t="shared" si="111"/>
        <v>500000</v>
      </c>
      <c r="L202" s="25" cm="1">
        <f t="array" ref="L202">_xlfn.IFS(H202 = "Almost Certain", 0.8, H202 = "Likely", 0.75, H202 = "Possible", 0.5, H202 = "Unlikely", 0.25, H202= "Rare", 0.1)</f>
        <v>0.1</v>
      </c>
      <c r="M202" s="97">
        <f t="shared" si="112"/>
        <v>50000</v>
      </c>
      <c r="N202" s="97">
        <f t="shared" si="113"/>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3" spans="1:14" ht="16" x14ac:dyDescent="0.2">
      <c r="D203" s="86">
        <v>1000000</v>
      </c>
      <c r="E203" s="26" t="s">
        <v>1345</v>
      </c>
      <c r="F203" s="27" t="s">
        <v>859</v>
      </c>
      <c r="G203" s="282">
        <v>30</v>
      </c>
      <c r="H203" s="4" t="s">
        <v>838</v>
      </c>
      <c r="I203" s="258" t="s">
        <v>859</v>
      </c>
      <c r="J203" s="118" cm="1">
        <f t="array" ref="J203">_xlfn.IFS(I203 = "Catastrophic", 90%, I203 = "Major", 70%, I203 = "Moderate", 50%, I203 = "Minor", 30%, I203 = "Negligible", 5%)</f>
        <v>0.5</v>
      </c>
      <c r="K203" s="125">
        <f t="shared" si="111"/>
        <v>500000</v>
      </c>
      <c r="L203" s="25" cm="1">
        <f t="array" ref="L203">_xlfn.IFS(H203 = "Almost Certain", 0.8, H203 = "Likely", 0.75, H203 = "Possible", 0.5, H203 = "Unlikely", 0.25, H203= "Rare", 0.1)</f>
        <v>0.5</v>
      </c>
      <c r="M203" s="97">
        <f t="shared" si="112"/>
        <v>250000</v>
      </c>
      <c r="N203" s="97">
        <f t="shared" si="113"/>
        <v>250000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4" spans="1:14" ht="14.5" customHeight="1" x14ac:dyDescent="0.2">
      <c r="B204" s="698" t="s">
        <v>549</v>
      </c>
      <c r="C204" s="699" t="s">
        <v>550</v>
      </c>
      <c r="D204" s="85">
        <v>500000</v>
      </c>
      <c r="E204" s="26" t="s">
        <v>1197</v>
      </c>
      <c r="F204" s="81" t="s">
        <v>859</v>
      </c>
      <c r="G204" s="282">
        <v>90</v>
      </c>
      <c r="H204" s="4" t="s">
        <v>1233</v>
      </c>
      <c r="I204" s="174" t="s">
        <v>840</v>
      </c>
      <c r="J204" s="118" cm="1">
        <f t="array" ref="J204">_xlfn.IFS(I204 = "Catastrophic", 90%, I204 = "Major", 70%, I204 = "Moderate", 50%, I204 = "Minor", 30%, I204 = "Negligible", 5%)</f>
        <v>0.7</v>
      </c>
      <c r="K204" s="125">
        <f t="shared" si="111"/>
        <v>350000</v>
      </c>
      <c r="L204" s="25" cm="1">
        <f t="array" ref="L204">_xlfn.IFS(H204 = "Almost Certain", 0.8, H204 = "Likely", 0.75, H204 = "Possible", 0.5, H204 = "Unlikely", 0.25, H204= "Rare", 0.1)</f>
        <v>0.1</v>
      </c>
      <c r="M204" s="97">
        <f t="shared" si="112"/>
        <v>35000</v>
      </c>
      <c r="N204" s="97">
        <f t="shared" si="113"/>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5" spans="1:14" ht="16" x14ac:dyDescent="0.2">
      <c r="D205" s="85">
        <v>500000</v>
      </c>
      <c r="E205" s="26" t="s">
        <v>1326</v>
      </c>
      <c r="F205" s="27" t="s">
        <v>859</v>
      </c>
      <c r="G205" s="282">
        <v>30</v>
      </c>
      <c r="H205" s="165" t="s">
        <v>1233</v>
      </c>
      <c r="I205" s="116" t="s">
        <v>993</v>
      </c>
      <c r="J205" s="118" cm="1">
        <f t="array" ref="J205">_xlfn.IFS(I205 = "Catastrophic", 90%, I205 = "Major", 70%, I205 = "Moderate", 50%, I205 = "Minor", 30%, I205 = "Negligible", 5%)</f>
        <v>0.3</v>
      </c>
      <c r="K205" s="125">
        <f t="shared" si="111"/>
        <v>150000</v>
      </c>
      <c r="L205" s="25" cm="1">
        <f t="array" ref="L205">_xlfn.IFS(H205 = "Almost Certain", 0.8, H205 = "Likely", 0.75, H205 = "Possible", 0.5, H205 = "Unlikely", 0.25, H205= "Rare", 0.1)</f>
        <v>0.1</v>
      </c>
      <c r="M205" s="97">
        <f t="shared" si="112"/>
        <v>15000</v>
      </c>
      <c r="N205" s="97">
        <f t="shared" si="113"/>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6" spans="1:14" ht="16" x14ac:dyDescent="0.2">
      <c r="D206" s="85">
        <v>500000</v>
      </c>
      <c r="E206" s="26" t="s">
        <v>1329</v>
      </c>
      <c r="F206" s="27" t="s">
        <v>859</v>
      </c>
      <c r="G206" s="282">
        <v>30</v>
      </c>
      <c r="H206" s="4" t="s">
        <v>1233</v>
      </c>
      <c r="I206" s="258" t="s">
        <v>993</v>
      </c>
      <c r="J206" s="118" cm="1">
        <f t="array" ref="J206">_xlfn.IFS(I206 = "Catastrophic", 90%, I206 = "Major", 70%, I206 = "Moderate", 50%, I206 = "Minor", 30%, I206 = "Negligible", 5%)</f>
        <v>0.3</v>
      </c>
      <c r="K206" s="125">
        <f t="shared" si="111"/>
        <v>150000</v>
      </c>
      <c r="L206" s="25" cm="1">
        <f t="array" ref="L206">_xlfn.IFS(H206 = "Almost Certain", 0.8, H206 = "Likely", 0.75, H206 = "Possible", 0.5, H206 = "Unlikely", 0.25, H206= "Rare", 0.1)</f>
        <v>0.1</v>
      </c>
      <c r="M206" s="97">
        <f t="shared" si="112"/>
        <v>15000</v>
      </c>
      <c r="N206" s="97">
        <f t="shared" si="113"/>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7" spans="1:14" ht="16" x14ac:dyDescent="0.2">
      <c r="D207" s="85">
        <v>500000</v>
      </c>
      <c r="E207" s="26" t="s">
        <v>1333</v>
      </c>
      <c r="F207" s="27" t="s">
        <v>1507</v>
      </c>
      <c r="G207" s="282">
        <v>14</v>
      </c>
      <c r="H207" s="4" t="s">
        <v>1025</v>
      </c>
      <c r="I207" s="4" t="s">
        <v>840</v>
      </c>
      <c r="J207" s="118" cm="1">
        <f t="array" ref="J207">_xlfn.IFS(I207 = "Catastrophic", 90%, I207 = "Major", 70%, I207 = "Moderate", 50%, I207 = "Minor", 30%, I207 = "Negligible", 5%)</f>
        <v>0.7</v>
      </c>
      <c r="K207" s="125">
        <f t="shared" si="111"/>
        <v>350000</v>
      </c>
      <c r="L207" s="25" cm="1">
        <f t="array" ref="L207">_xlfn.IFS(H207 = "Almost Certain", 0.8, H207 = "Likely", 0.75, H207 = "Possible", 0.5, H207 = "Unlikely", 0.25, H207= "Rare", 0.1)</f>
        <v>0.25</v>
      </c>
      <c r="M207" s="97">
        <f t="shared" si="112"/>
        <v>87500</v>
      </c>
      <c r="N207" s="97">
        <f t="shared" si="113"/>
        <v>87500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8" spans="1:14" ht="16" x14ac:dyDescent="0.2">
      <c r="D208" s="85">
        <v>500000</v>
      </c>
      <c r="E208" s="26" t="s">
        <v>1336</v>
      </c>
      <c r="F208" s="27" t="s">
        <v>1507</v>
      </c>
      <c r="G208" s="282">
        <v>14</v>
      </c>
      <c r="H208" s="4" t="s">
        <v>1233</v>
      </c>
      <c r="I208" s="4" t="s">
        <v>859</v>
      </c>
      <c r="J208" s="118" cm="1">
        <f t="array" ref="J208">_xlfn.IFS(I208 = "Catastrophic", 90%, I208 = "Major", 70%, I208 = "Moderate", 50%, I208 = "Minor", 30%, I208 = "Negligible", 5%)</f>
        <v>0.5</v>
      </c>
      <c r="K208" s="125">
        <f t="shared" si="111"/>
        <v>250000</v>
      </c>
      <c r="L208" s="25" cm="1">
        <f t="array" ref="L208">_xlfn.IFS(H208 = "Almost Certain", 0.8, H208 = "Likely", 0.75, H208 = "Possible", 0.5, H208 = "Unlikely", 0.25, H208= "Rare", 0.1)</f>
        <v>0.1</v>
      </c>
      <c r="M208" s="97">
        <f t="shared" si="112"/>
        <v>25000</v>
      </c>
      <c r="N208" s="97">
        <f t="shared" si="113"/>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9" spans="1:14" ht="16" x14ac:dyDescent="0.2">
      <c r="D209" s="85">
        <v>500000</v>
      </c>
      <c r="E209" s="26" t="s">
        <v>1343</v>
      </c>
      <c r="F209" s="27" t="s">
        <v>859</v>
      </c>
      <c r="G209" s="282">
        <v>90</v>
      </c>
      <c r="H209" s="4" t="s">
        <v>1233</v>
      </c>
      <c r="I209" s="257" t="s">
        <v>993</v>
      </c>
      <c r="J209" s="118" cm="1">
        <f t="array" ref="J209">_xlfn.IFS(I209 = "Catastrophic", 90%, I209 = "Major", 70%, I209 = "Moderate", 50%, I209 = "Minor", 30%, I209 = "Negligible", 5%)</f>
        <v>0.3</v>
      </c>
      <c r="K209" s="125">
        <f t="shared" si="111"/>
        <v>150000</v>
      </c>
      <c r="L209" s="25" cm="1">
        <f t="array" ref="L209">_xlfn.IFS(H209 = "Almost Certain", 0.8, H209 = "Likely", 0.75, H209 = "Possible", 0.5, H209 = "Unlikely", 0.25, H209= "Rare", 0.1)</f>
        <v>0.1</v>
      </c>
      <c r="M209" s="97">
        <f t="shared" si="112"/>
        <v>15000</v>
      </c>
      <c r="N209" s="97">
        <f t="shared" si="113"/>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0" spans="1:14" ht="16" x14ac:dyDescent="0.2">
      <c r="D210" s="85">
        <v>500000</v>
      </c>
      <c r="E210" s="26" t="s">
        <v>1345</v>
      </c>
      <c r="F210" s="27" t="s">
        <v>1507</v>
      </c>
      <c r="G210" s="282">
        <v>30</v>
      </c>
      <c r="H210" s="165" t="s">
        <v>1233</v>
      </c>
      <c r="I210" s="116" t="s">
        <v>993</v>
      </c>
      <c r="J210" s="118" cm="1">
        <f t="array" ref="J210">_xlfn.IFS(I210 = "Catastrophic", 90%, I210 = "Major", 70%, I210 = "Moderate", 50%, I210 = "Minor", 30%, I210 = "Negligible", 5%)</f>
        <v>0.3</v>
      </c>
      <c r="K210" s="125">
        <f t="shared" si="111"/>
        <v>150000</v>
      </c>
      <c r="L210" s="25" cm="1">
        <f t="array" ref="L210">_xlfn.IFS(H210 = "Almost Certain", 0.8, H210 = "Likely", 0.75, H210 = "Possible", 0.5, H210 = "Unlikely", 0.25, H210= "Rare", 0.1)</f>
        <v>0.1</v>
      </c>
      <c r="M210" s="97">
        <f t="shared" si="112"/>
        <v>15000</v>
      </c>
      <c r="N210" s="97">
        <f t="shared" si="113"/>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1" spans="1:14" ht="14.5" customHeight="1" x14ac:dyDescent="0.2">
      <c r="B211" s="698" t="s">
        <v>555</v>
      </c>
      <c r="C211" s="699" t="s">
        <v>556</v>
      </c>
      <c r="D211" s="85">
        <v>250000</v>
      </c>
      <c r="E211" s="26" t="s">
        <v>1197</v>
      </c>
      <c r="F211" s="27" t="s">
        <v>859</v>
      </c>
      <c r="G211" s="282">
        <v>90</v>
      </c>
      <c r="H211" s="165" t="s">
        <v>1233</v>
      </c>
      <c r="I211" s="258" t="s">
        <v>859</v>
      </c>
      <c r="J211" s="118" cm="1">
        <f t="array" ref="J211">_xlfn.IFS(I211 = "Catastrophic", 90%, I211 = "Major", 70%, I211 = "Moderate", 50%, I211 = "Minor", 30%, I211 = "Negligible", 5%)</f>
        <v>0.5</v>
      </c>
      <c r="K211" s="125">
        <f t="shared" si="111"/>
        <v>125000</v>
      </c>
      <c r="L211" s="25" cm="1">
        <f t="array" ref="L211">_xlfn.IFS(H211 = "Almost Certain", 0.8, H211 = "Likely", 0.75, H211 = "Possible", 0.5, H211 = "Unlikely", 0.25, H211= "Rare", 0.1)</f>
        <v>0.1</v>
      </c>
      <c r="M211" s="97">
        <f t="shared" si="112"/>
        <v>12500</v>
      </c>
      <c r="N211" s="97">
        <f t="shared" si="113"/>
        <v>12500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2" spans="1:14" ht="16" x14ac:dyDescent="0.2">
      <c r="D212" s="85">
        <v>250000</v>
      </c>
      <c r="E212" s="26" t="s">
        <v>1326</v>
      </c>
      <c r="F212" s="27" t="s">
        <v>859</v>
      </c>
      <c r="G212" s="282">
        <v>30</v>
      </c>
      <c r="H212" s="165" t="s">
        <v>838</v>
      </c>
      <c r="I212" s="116" t="s">
        <v>859</v>
      </c>
      <c r="J212" s="118" cm="1">
        <f t="array" ref="J212">_xlfn.IFS(I212 = "Catastrophic", 90%, I212 = "Major", 70%, I212 = "Moderate", 50%, I212 = "Minor", 30%, I212 = "Negligible", 5%)</f>
        <v>0.5</v>
      </c>
      <c r="K212" s="125">
        <f t="shared" si="111"/>
        <v>125000</v>
      </c>
      <c r="L212" s="25" cm="1">
        <f t="array" ref="L212">_xlfn.IFS(H212 = "Almost Certain", 0.8, H212 = "Likely", 0.75, H212 = "Possible", 0.5, H212 = "Unlikely", 0.25, H212= "Rare", 0.1)</f>
        <v>0.5</v>
      </c>
      <c r="M212" s="97">
        <f t="shared" si="112"/>
        <v>62500</v>
      </c>
      <c r="N212" s="97">
        <f t="shared" si="113"/>
        <v>62500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3" spans="1:14" ht="16" x14ac:dyDescent="0.2">
      <c r="D213" s="85">
        <v>250000</v>
      </c>
      <c r="E213" s="26" t="s">
        <v>1329</v>
      </c>
      <c r="F213" s="27" t="s">
        <v>859</v>
      </c>
      <c r="G213" s="282">
        <v>30</v>
      </c>
      <c r="H213" s="4" t="s">
        <v>1233</v>
      </c>
      <c r="I213" s="259" t="s">
        <v>840</v>
      </c>
      <c r="J213" s="118" cm="1">
        <f t="array" ref="J213">_xlfn.IFS(I213 = "Catastrophic", 90%, I213 = "Major", 70%, I213 = "Moderate", 50%, I213 = "Minor", 30%, I213 = "Negligible", 5%)</f>
        <v>0.7</v>
      </c>
      <c r="K213" s="125">
        <f t="shared" si="111"/>
        <v>175000</v>
      </c>
      <c r="L213" s="25" cm="1">
        <f t="array" ref="L213">_xlfn.IFS(H213 = "Almost Certain", 0.8, H213 = "Likely", 0.75, H213 = "Possible", 0.5, H213 = "Unlikely", 0.25, H213= "Rare", 0.1)</f>
        <v>0.1</v>
      </c>
      <c r="M213" s="97">
        <f t="shared" si="112"/>
        <v>17500</v>
      </c>
      <c r="N213" s="97">
        <f t="shared" si="113"/>
        <v>17500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4" spans="1:14" ht="16" x14ac:dyDescent="0.2">
      <c r="D214" s="85">
        <v>250000</v>
      </c>
      <c r="E214" s="26" t="s">
        <v>1333</v>
      </c>
      <c r="F214" s="27" t="s">
        <v>1507</v>
      </c>
      <c r="G214" s="282">
        <v>14</v>
      </c>
      <c r="H214" s="165" t="s">
        <v>1233</v>
      </c>
      <c r="I214" s="116" t="s">
        <v>993</v>
      </c>
      <c r="J214" s="118" cm="1">
        <f t="array" ref="J214">_xlfn.IFS(I214 = "Catastrophic", 90%, I214 = "Major", 70%, I214 = "Moderate", 50%, I214 = "Minor", 30%, I214 = "Negligible", 5%)</f>
        <v>0.3</v>
      </c>
      <c r="K214" s="125">
        <f t="shared" si="111"/>
        <v>75000</v>
      </c>
      <c r="L214" s="25" cm="1">
        <f t="array" ref="L214">_xlfn.IFS(H214 = "Almost Certain", 0.8, H214 = "Likely", 0.75, H214 = "Possible", 0.5, H214 = "Unlikely", 0.25, H214= "Rare", 0.1)</f>
        <v>0.1</v>
      </c>
      <c r="M214" s="97">
        <f t="shared" si="112"/>
        <v>7500</v>
      </c>
      <c r="N214" s="97">
        <f t="shared" si="113"/>
        <v>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5" spans="1:14" ht="16" x14ac:dyDescent="0.2">
      <c r="D215" s="85">
        <v>250000</v>
      </c>
      <c r="E215" s="26" t="s">
        <v>1336</v>
      </c>
      <c r="F215" s="27" t="s">
        <v>1507</v>
      </c>
      <c r="G215" s="282">
        <v>14</v>
      </c>
      <c r="H215" s="165" t="s">
        <v>1233</v>
      </c>
      <c r="I215" s="116" t="s">
        <v>993</v>
      </c>
      <c r="J215" s="118" cm="1">
        <f t="array" ref="J215">_xlfn.IFS(I215 = "Catastrophic", 90%, I215 = "Major", 70%, I215 = "Moderate", 50%, I215 = "Minor", 30%, I215 = "Negligible", 5%)</f>
        <v>0.3</v>
      </c>
      <c r="K215" s="125">
        <f t="shared" si="111"/>
        <v>75000</v>
      </c>
      <c r="L215" s="25" cm="1">
        <f t="array" ref="L215">_xlfn.IFS(H215 = "Almost Certain", 0.8, H215 = "Likely", 0.75, H215 = "Possible", 0.5, H215 = "Unlikely", 0.25, H215= "Rare", 0.1)</f>
        <v>0.1</v>
      </c>
      <c r="M215" s="97">
        <f t="shared" si="112"/>
        <v>7500</v>
      </c>
      <c r="N215" s="97">
        <f t="shared" si="113"/>
        <v>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6" spans="1:14" ht="16" x14ac:dyDescent="0.2">
      <c r="D216" s="85">
        <v>250000</v>
      </c>
      <c r="E216" s="26" t="s">
        <v>1343</v>
      </c>
      <c r="F216" s="27" t="s">
        <v>1507</v>
      </c>
      <c r="G216" s="282">
        <v>90</v>
      </c>
      <c r="H216" s="4" t="s">
        <v>1025</v>
      </c>
      <c r="I216" s="163" t="s">
        <v>840</v>
      </c>
      <c r="J216" s="118" cm="1">
        <f t="array" ref="J216">_xlfn.IFS(I216 = "Catastrophic", 90%, I216 = "Major", 70%, I216 = "Moderate", 50%, I216 = "Minor", 30%, I216 = "Negligible", 5%)</f>
        <v>0.7</v>
      </c>
      <c r="K216" s="125">
        <f t="shared" si="111"/>
        <v>175000</v>
      </c>
      <c r="L216" s="25" cm="1">
        <f t="array" ref="L216">_xlfn.IFS(H216 = "Almost Certain", 0.8, H216 = "Likely", 0.75, H216 = "Possible", 0.5, H216 = "Unlikely", 0.25, H216= "Rare", 0.1)</f>
        <v>0.25</v>
      </c>
      <c r="M216" s="97">
        <f t="shared" si="112"/>
        <v>43750</v>
      </c>
      <c r="N216" s="97">
        <f t="shared" si="113"/>
        <v>43750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7" spans="1:14" ht="16" x14ac:dyDescent="0.2">
      <c r="D217" s="85">
        <v>250000</v>
      </c>
      <c r="E217" s="26" t="s">
        <v>1345</v>
      </c>
      <c r="F217" s="27" t="s">
        <v>1507</v>
      </c>
      <c r="G217" s="282">
        <v>30</v>
      </c>
      <c r="H217" s="4" t="s">
        <v>1233</v>
      </c>
      <c r="I217" s="4" t="s">
        <v>859</v>
      </c>
      <c r="J217" s="118" cm="1">
        <f t="array" ref="J217">_xlfn.IFS(I217 = "Catastrophic", 90%, I217 = "Major", 70%, I217 = "Moderate", 50%, I217 = "Minor", 30%, I217 = "Negligible", 5%)</f>
        <v>0.5</v>
      </c>
      <c r="K217" s="125">
        <f t="shared" si="111"/>
        <v>125000</v>
      </c>
      <c r="L217" s="25" cm="1">
        <f t="array" ref="L217">_xlfn.IFS(H217 = "Almost Certain", 0.8, H217 = "Likely", 0.75, H217 = "Possible", 0.5, H217 = "Unlikely", 0.25, H217= "Rare", 0.1)</f>
        <v>0.1</v>
      </c>
      <c r="M217" s="97">
        <f t="shared" si="112"/>
        <v>12500</v>
      </c>
      <c r="N217" s="97">
        <f t="shared" si="113"/>
        <v>12500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8" spans="1:14" ht="16" x14ac:dyDescent="0.2">
      <c r="B218" s="698" t="s">
        <v>562</v>
      </c>
      <c r="C218" s="699" t="s">
        <v>563</v>
      </c>
      <c r="D218" s="85">
        <v>500000</v>
      </c>
      <c r="E218" s="26" t="s">
        <v>1329</v>
      </c>
      <c r="F218" s="27" t="s">
        <v>1507</v>
      </c>
      <c r="G218" s="282">
        <v>30</v>
      </c>
      <c r="H218" s="4" t="s">
        <v>1233</v>
      </c>
      <c r="I218" s="257" t="s">
        <v>993</v>
      </c>
      <c r="J218" s="118" cm="1">
        <f t="array" ref="J218">_xlfn.IFS(I218 = "Catastrophic", 90%, I218 = "Major", 70%, I218 = "Moderate", 50%, I218 = "Minor", 30%, I218 = "Negligible", 5%)</f>
        <v>0.3</v>
      </c>
      <c r="K218" s="125">
        <f t="shared" si="111"/>
        <v>150000</v>
      </c>
      <c r="L218" s="25" cm="1">
        <f t="array" ref="L218">_xlfn.IFS(H218 = "Almost Certain", 0.8, H218 = "Likely", 0.75, H218 = "Possible", 0.5, H218 = "Unlikely", 0.25, H218= "Rare", 0.1)</f>
        <v>0.1</v>
      </c>
      <c r="M218" s="97">
        <f t="shared" si="112"/>
        <v>15000</v>
      </c>
      <c r="N218" s="97">
        <f t="shared" si="113"/>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9" spans="1:14" ht="16" x14ac:dyDescent="0.2">
      <c r="D219" s="85">
        <v>500000</v>
      </c>
      <c r="E219" s="26" t="s">
        <v>1333</v>
      </c>
      <c r="F219" s="27" t="s">
        <v>1507</v>
      </c>
      <c r="G219" s="282">
        <v>14</v>
      </c>
      <c r="H219" s="4" t="s">
        <v>1233</v>
      </c>
      <c r="I219" s="257" t="s">
        <v>993</v>
      </c>
      <c r="J219" s="118" cm="1">
        <f t="array" ref="J219">_xlfn.IFS(I219 = "Catastrophic", 90%, I219 = "Major", 70%, I219 = "Moderate", 50%, I219 = "Minor", 30%, I219 = "Negligible", 5%)</f>
        <v>0.3</v>
      </c>
      <c r="K219" s="125">
        <f t="shared" si="111"/>
        <v>150000</v>
      </c>
      <c r="L219" s="25" cm="1">
        <f t="array" ref="L219">_xlfn.IFS(H219 = "Almost Certain", 0.8, H219 = "Likely", 0.75, H219 = "Possible", 0.5, H219 = "Unlikely", 0.25, H219= "Rare", 0.1)</f>
        <v>0.1</v>
      </c>
      <c r="M219" s="97">
        <f t="shared" si="112"/>
        <v>15000</v>
      </c>
      <c r="N219" s="97">
        <f t="shared" si="113"/>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0" spans="1:14" ht="16" x14ac:dyDescent="0.2">
      <c r="D220" s="85">
        <v>500000</v>
      </c>
      <c r="E220" s="26" t="s">
        <v>1336</v>
      </c>
      <c r="F220" s="27" t="s">
        <v>1507</v>
      </c>
      <c r="G220" s="282">
        <v>14</v>
      </c>
      <c r="H220" s="4" t="s">
        <v>1233</v>
      </c>
      <c r="I220" s="257" t="s">
        <v>840</v>
      </c>
      <c r="J220" s="118" cm="1">
        <f t="array" ref="J220">_xlfn.IFS(I220 = "Catastrophic", 90%, I220 = "Major", 70%, I220 = "Moderate", 50%, I220 = "Minor", 30%, I220 = "Negligible", 5%)</f>
        <v>0.7</v>
      </c>
      <c r="K220" s="125">
        <f t="shared" si="111"/>
        <v>350000</v>
      </c>
      <c r="L220" s="25" cm="1">
        <f t="array" ref="L220">_xlfn.IFS(H220 = "Almost Certain", 0.8, H220 = "Likely", 0.75, H220 = "Possible", 0.5, H220 = "Unlikely", 0.25, H220= "Rare", 0.1)</f>
        <v>0.1</v>
      </c>
      <c r="M220" s="97">
        <f t="shared" si="112"/>
        <v>35000</v>
      </c>
      <c r="N220" s="97">
        <f t="shared" si="113"/>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1" spans="1:14" ht="16" x14ac:dyDescent="0.2">
      <c r="D221" s="85">
        <v>500000</v>
      </c>
      <c r="E221" s="26" t="s">
        <v>1343</v>
      </c>
      <c r="F221" s="27" t="s">
        <v>1507</v>
      </c>
      <c r="G221" s="282">
        <v>90</v>
      </c>
      <c r="H221" s="4" t="s">
        <v>838</v>
      </c>
      <c r="I221" s="257" t="s">
        <v>840</v>
      </c>
      <c r="J221" s="118" cm="1">
        <f t="array" ref="J221">_xlfn.IFS(I221 = "Catastrophic", 90%, I221 = "Major", 70%, I221 = "Moderate", 50%, I221 = "Minor", 30%, I221 = "Negligible", 5%)</f>
        <v>0.7</v>
      </c>
      <c r="K221" s="125">
        <f t="shared" si="111"/>
        <v>350000</v>
      </c>
      <c r="L221" s="25" cm="1">
        <f t="array" ref="L221">_xlfn.IFS(H221 = "Almost Certain", 0.8, H221 = "Likely", 0.75, H221 = "Possible", 0.5, H221 = "Unlikely", 0.25, H221= "Rare", 0.1)</f>
        <v>0.5</v>
      </c>
      <c r="M221" s="97">
        <f t="shared" si="112"/>
        <v>175000</v>
      </c>
      <c r="N221" s="97">
        <f t="shared" si="113"/>
        <v>175000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2" spans="1:14" ht="16" x14ac:dyDescent="0.2">
      <c r="D222" s="85">
        <v>500000</v>
      </c>
      <c r="E222" s="26" t="s">
        <v>1345</v>
      </c>
      <c r="F222" s="27" t="s">
        <v>1507</v>
      </c>
      <c r="G222" s="282">
        <v>30</v>
      </c>
      <c r="H222" s="4" t="s">
        <v>1233</v>
      </c>
      <c r="I222" s="4" t="s">
        <v>840</v>
      </c>
      <c r="J222" s="118" cm="1">
        <f t="array" ref="J222">_xlfn.IFS(I222 = "Catastrophic", 90%, I222 = "Major", 70%, I222 = "Moderate", 50%, I222 = "Minor", 30%, I222 = "Negligible", 5%)</f>
        <v>0.7</v>
      </c>
      <c r="K222" s="125">
        <f t="shared" si="111"/>
        <v>350000</v>
      </c>
      <c r="L222" s="25" cm="1">
        <f t="array" ref="L222">_xlfn.IFS(H222 = "Almost Certain", 0.8, H222 = "Likely", 0.75, H222 = "Possible", 0.5, H222 = "Unlikely", 0.25, H222= "Rare", 0.1)</f>
        <v>0.1</v>
      </c>
      <c r="M222" s="97">
        <f t="shared" si="112"/>
        <v>35000</v>
      </c>
      <c r="N222" s="97">
        <f t="shared" si="113"/>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3" spans="1:14" ht="14.5" customHeight="1" x14ac:dyDescent="0.2">
      <c r="B223" s="698" t="s">
        <v>567</v>
      </c>
      <c r="C223" s="699" t="s">
        <v>568</v>
      </c>
      <c r="D223" s="85">
        <v>1500000</v>
      </c>
      <c r="E223" s="26" t="s">
        <v>1197</v>
      </c>
      <c r="F223" s="27" t="s">
        <v>859</v>
      </c>
      <c r="G223" s="282">
        <v>90</v>
      </c>
      <c r="H223" s="4" t="s">
        <v>1233</v>
      </c>
      <c r="I223" s="257" t="s">
        <v>993</v>
      </c>
      <c r="J223" s="118" cm="1">
        <f t="array" ref="J223">_xlfn.IFS(I223 = "Catastrophic", 90%, I223 = "Major", 70%, I223 = "Moderate", 50%, I223 = "Minor", 30%, I223 = "Negligible", 5%)</f>
        <v>0.3</v>
      </c>
      <c r="K223" s="125">
        <f t="shared" si="111"/>
        <v>450000</v>
      </c>
      <c r="L223" s="25" cm="1">
        <f t="array" ref="L223">_xlfn.IFS(H223 = "Almost Certain", 0.8, H223 = "Likely", 0.75, H223 = "Possible", 0.5, H223 = "Unlikely", 0.25, H223= "Rare", 0.1)</f>
        <v>0.1</v>
      </c>
      <c r="M223" s="97">
        <f t="shared" si="112"/>
        <v>45000</v>
      </c>
      <c r="N223" s="97">
        <f t="shared" si="113"/>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4" spans="1:14" ht="16" x14ac:dyDescent="0.2">
      <c r="D224" s="85">
        <v>1500000</v>
      </c>
      <c r="E224" s="26" t="s">
        <v>1326</v>
      </c>
      <c r="F224" s="27" t="s">
        <v>859</v>
      </c>
      <c r="G224" s="282">
        <v>30</v>
      </c>
      <c r="H224" s="4" t="s">
        <v>1233</v>
      </c>
      <c r="I224" s="257" t="s">
        <v>993</v>
      </c>
      <c r="J224" s="118" cm="1">
        <f t="array" ref="J224">_xlfn.IFS(I224 = "Catastrophic", 90%, I224 = "Major", 70%, I224 = "Moderate", 50%, I224 = "Minor", 30%, I224 = "Negligible", 5%)</f>
        <v>0.3</v>
      </c>
      <c r="K224" s="125">
        <f t="shared" si="111"/>
        <v>450000</v>
      </c>
      <c r="L224" s="25" cm="1">
        <f t="array" ref="L224">_xlfn.IFS(H224 = "Almost Certain", 0.8, H224 = "Likely", 0.75, H224 = "Possible", 0.5, H224 = "Unlikely", 0.25, H224= "Rare", 0.1)</f>
        <v>0.1</v>
      </c>
      <c r="M224" s="97">
        <f t="shared" si="112"/>
        <v>45000</v>
      </c>
      <c r="N224" s="97">
        <f t="shared" si="113"/>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5" spans="1:14" ht="16" x14ac:dyDescent="0.2">
      <c r="D225" s="85">
        <v>1500000</v>
      </c>
      <c r="E225" s="26" t="s">
        <v>1329</v>
      </c>
      <c r="F225" s="27" t="s">
        <v>859</v>
      </c>
      <c r="G225" s="282">
        <v>30</v>
      </c>
      <c r="H225" s="4" t="s">
        <v>1025</v>
      </c>
      <c r="I225" s="4" t="s">
        <v>840</v>
      </c>
      <c r="J225" s="118" cm="1">
        <f t="array" ref="J225">_xlfn.IFS(I225 = "Catastrophic", 90%, I225 = "Major", 70%, I225 = "Moderate", 50%, I225 = "Minor", 30%, I225 = "Negligible", 5%)</f>
        <v>0.7</v>
      </c>
      <c r="K225" s="125">
        <f t="shared" si="111"/>
        <v>1050000</v>
      </c>
      <c r="L225" s="25" cm="1">
        <f t="array" ref="L225">_xlfn.IFS(H225 = "Almost Certain", 0.8, H225 = "Likely", 0.75, H225 = "Possible", 0.5, H225 = "Unlikely", 0.25, H225= "Rare", 0.1)</f>
        <v>0.25</v>
      </c>
      <c r="M225" s="97">
        <f t="shared" si="112"/>
        <v>262500</v>
      </c>
      <c r="N225" s="97">
        <f t="shared" si="113"/>
        <v>262500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6" spans="1:14" ht="16" x14ac:dyDescent="0.2">
      <c r="D226" s="85">
        <v>1500000</v>
      </c>
      <c r="E226" s="26" t="s">
        <v>1333</v>
      </c>
      <c r="F226" s="27" t="s">
        <v>1507</v>
      </c>
      <c r="G226" s="282">
        <v>14</v>
      </c>
      <c r="H226" s="4" t="s">
        <v>1233</v>
      </c>
      <c r="I226" s="4" t="s">
        <v>859</v>
      </c>
      <c r="J226" s="118" cm="1">
        <f t="array" ref="J226">_xlfn.IFS(I226 = "Catastrophic", 90%, I226 = "Major", 70%, I226 = "Moderate", 50%, I226 = "Minor", 30%, I226 = "Negligible", 5%)</f>
        <v>0.5</v>
      </c>
      <c r="K226" s="125">
        <f t="shared" si="111"/>
        <v>750000</v>
      </c>
      <c r="L226" s="25" cm="1">
        <f t="array" ref="L226">_xlfn.IFS(H226 = "Almost Certain", 0.8, H226 = "Likely", 0.75, H226 = "Possible", 0.5, H226 = "Unlikely", 0.25, H226= "Rare", 0.1)</f>
        <v>0.1</v>
      </c>
      <c r="M226" s="97">
        <f t="shared" si="112"/>
        <v>75000</v>
      </c>
      <c r="N226" s="97">
        <f t="shared" si="113"/>
        <v>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7" spans="1:14" ht="16" x14ac:dyDescent="0.2">
      <c r="D227" s="85">
        <v>1500000</v>
      </c>
      <c r="E227" s="26" t="s">
        <v>1336</v>
      </c>
      <c r="F227" s="27" t="s">
        <v>1507</v>
      </c>
      <c r="G227" s="282">
        <v>14</v>
      </c>
      <c r="H227" s="4" t="s">
        <v>1233</v>
      </c>
      <c r="I227" s="257" t="s">
        <v>993</v>
      </c>
      <c r="J227" s="118" cm="1">
        <f t="array" ref="J227">_xlfn.IFS(I227 = "Catastrophic", 90%, I227 = "Major", 70%, I227 = "Moderate", 50%, I227 = "Minor", 30%, I227 = "Negligible", 5%)</f>
        <v>0.3</v>
      </c>
      <c r="K227" s="125">
        <f t="shared" si="111"/>
        <v>450000</v>
      </c>
      <c r="L227" s="25" cm="1">
        <f t="array" ref="L227">_xlfn.IFS(H227 = "Almost Certain", 0.8, H227 = "Likely", 0.75, H227 = "Possible", 0.5, H227 = "Unlikely", 0.25, H227= "Rare", 0.1)</f>
        <v>0.1</v>
      </c>
      <c r="M227" s="97">
        <f t="shared" si="112"/>
        <v>45000</v>
      </c>
      <c r="N227" s="97">
        <f t="shared" si="113"/>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8" spans="1:14" ht="16" x14ac:dyDescent="0.2">
      <c r="D228" s="85">
        <v>1500000</v>
      </c>
      <c r="E228" s="26" t="s">
        <v>1343</v>
      </c>
      <c r="F228" s="27" t="s">
        <v>1507</v>
      </c>
      <c r="G228" s="282">
        <v>90</v>
      </c>
      <c r="H228" s="4" t="s">
        <v>1233</v>
      </c>
      <c r="I228" s="257" t="s">
        <v>993</v>
      </c>
      <c r="J228" s="118" cm="1">
        <f t="array" ref="J228">_xlfn.IFS(I228 = "Catastrophic", 90%, I228 = "Major", 70%, I228 = "Moderate", 50%, I228 = "Minor", 30%, I228 = "Negligible", 5%)</f>
        <v>0.3</v>
      </c>
      <c r="K228" s="125">
        <f t="shared" si="111"/>
        <v>450000</v>
      </c>
      <c r="L228" s="25" cm="1">
        <f t="array" ref="L228">_xlfn.IFS(H228 = "Almost Certain", 0.8, H228 = "Likely", 0.75, H228 = "Possible", 0.5, H228 = "Unlikely", 0.25, H228= "Rare", 0.1)</f>
        <v>0.1</v>
      </c>
      <c r="M228" s="97">
        <f t="shared" si="112"/>
        <v>45000</v>
      </c>
      <c r="N228" s="97">
        <f t="shared" si="113"/>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9" spans="1:14" ht="16" x14ac:dyDescent="0.2">
      <c r="D229" s="85">
        <v>1500000</v>
      </c>
      <c r="E229" s="26" t="s">
        <v>1345</v>
      </c>
      <c r="F229" s="27" t="s">
        <v>1507</v>
      </c>
      <c r="G229" s="282">
        <v>30</v>
      </c>
      <c r="H229" s="4" t="s">
        <v>1233</v>
      </c>
      <c r="I229" s="4" t="s">
        <v>840</v>
      </c>
      <c r="J229" s="118" cm="1">
        <f t="array" ref="J229">_xlfn.IFS(I229 = "Catastrophic", 90%, I229 = "Major", 70%, I229 = "Moderate", 50%, I229 = "Minor", 30%, I229 = "Negligible", 5%)</f>
        <v>0.7</v>
      </c>
      <c r="K229" s="125">
        <f t="shared" si="111"/>
        <v>1050000</v>
      </c>
      <c r="L229" s="25" cm="1">
        <f t="array" ref="L229">_xlfn.IFS(H229 = "Almost Certain", 0.8, H229 = "Likely", 0.75, H229 = "Possible", 0.5, H229 = "Unlikely", 0.25, H229= "Rare", 0.1)</f>
        <v>0.1</v>
      </c>
      <c r="M229" s="97">
        <f t="shared" si="112"/>
        <v>105000</v>
      </c>
      <c r="N229" s="97">
        <f t="shared" si="113"/>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0" spans="1:14" ht="14.5" customHeight="1" x14ac:dyDescent="0.2">
      <c r="B230" s="643" t="s">
        <v>575</v>
      </c>
      <c r="C230" s="640" t="s">
        <v>576</v>
      </c>
      <c r="D230" s="85">
        <v>5000000</v>
      </c>
      <c r="E230" s="26" t="s">
        <v>1197</v>
      </c>
      <c r="F230" s="27" t="s">
        <v>1505</v>
      </c>
      <c r="G230" s="282">
        <v>90</v>
      </c>
      <c r="H230" s="4" t="s">
        <v>1233</v>
      </c>
      <c r="I230" s="257" t="s">
        <v>993</v>
      </c>
      <c r="J230" s="118" cm="1">
        <f t="array" ref="J230">_xlfn.IFS(I230 = "Catastrophic", 90%, I230 = "Major", 70%, I230 = "Moderate", 50%, I230 = "Minor", 30%, I230 = "Negligible", 5%)</f>
        <v>0.3</v>
      </c>
      <c r="K230" s="125">
        <f t="shared" si="111"/>
        <v>1500000</v>
      </c>
      <c r="L230" s="25" cm="1">
        <f t="array" ref="L230">_xlfn.IFS(H230 = "Almost Certain", 0.8, H230 = "Likely", 0.75, H230 = "Possible", 0.5, H230 = "Unlikely", 0.25, H230= "Rare", 0.1)</f>
        <v>0.1</v>
      </c>
      <c r="M230" s="97">
        <f t="shared" si="112"/>
        <v>150000</v>
      </c>
      <c r="N230" s="97">
        <f t="shared" si="113"/>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1" spans="1:14" ht="16" x14ac:dyDescent="0.2">
      <c r="D231" s="85">
        <v>5000000</v>
      </c>
      <c r="E231" s="26" t="s">
        <v>1326</v>
      </c>
      <c r="F231" s="27" t="s">
        <v>1505</v>
      </c>
      <c r="G231" s="282">
        <v>30</v>
      </c>
      <c r="H231" s="4" t="s">
        <v>1025</v>
      </c>
      <c r="I231" s="4" t="s">
        <v>840</v>
      </c>
      <c r="J231" s="118" cm="1">
        <f t="array" ref="J231">_xlfn.IFS(I231 = "Catastrophic", 90%, I231 = "Major", 70%, I231 = "Moderate", 50%, I231 = "Minor", 30%, I231 = "Negligible", 5%)</f>
        <v>0.7</v>
      </c>
      <c r="K231" s="125">
        <f t="shared" si="111"/>
        <v>3500000</v>
      </c>
      <c r="L231" s="25" cm="1">
        <f t="array" ref="L231">_xlfn.IFS(H231 = "Almost Certain", 0.8, H231 = "Likely", 0.75, H231 = "Possible", 0.5, H231 = "Unlikely", 0.25, H231= "Rare", 0.1)</f>
        <v>0.25</v>
      </c>
      <c r="M231" s="97">
        <f t="shared" ref="M231:M235" si="114">K231*L232</f>
        <v>350000</v>
      </c>
      <c r="N231" s="97">
        <f t="shared" si="113"/>
        <v>350000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2" spans="1:14" ht="16" x14ac:dyDescent="0.2">
      <c r="D232" s="85">
        <v>5000000</v>
      </c>
      <c r="E232" s="26" t="s">
        <v>1329</v>
      </c>
      <c r="F232" s="27" t="s">
        <v>859</v>
      </c>
      <c r="G232" s="282">
        <v>30</v>
      </c>
      <c r="H232" s="4" t="s">
        <v>1233</v>
      </c>
      <c r="I232" s="4" t="s">
        <v>859</v>
      </c>
      <c r="J232" s="118" cm="1">
        <f t="array" ref="J232">_xlfn.IFS(I232 = "Catastrophic", 90%, I232 = "Major", 70%, I232 = "Moderate", 50%, I232 = "Minor", 30%, I232 = "Negligible", 5%)</f>
        <v>0.5</v>
      </c>
      <c r="K232" s="125">
        <f t="shared" si="111"/>
        <v>2500000</v>
      </c>
      <c r="L232" s="25" cm="1">
        <f t="array" ref="L232">_xlfn.IFS(H232 = "Almost Certain", 0.8, H232 = "Likely", 0.75, H232 = "Possible", 0.5, H232 = "Unlikely", 0.25, H232= "Rare", 0.1)</f>
        <v>0.1</v>
      </c>
      <c r="M232" s="97">
        <f t="shared" si="114"/>
        <v>250000</v>
      </c>
      <c r="N232" s="97">
        <f t="shared" si="113"/>
        <v>250000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3" spans="1:14" ht="16" x14ac:dyDescent="0.2">
      <c r="D233" s="85">
        <v>5000000</v>
      </c>
      <c r="E233" s="26" t="s">
        <v>1333</v>
      </c>
      <c r="F233" s="27" t="s">
        <v>1507</v>
      </c>
      <c r="G233" s="282">
        <v>14</v>
      </c>
      <c r="H233" s="4" t="s">
        <v>1233</v>
      </c>
      <c r="I233" s="257" t="s">
        <v>993</v>
      </c>
      <c r="J233" s="118" cm="1">
        <f t="array" ref="J233">_xlfn.IFS(I233 = "Catastrophic", 90%, I233 = "Major", 70%, I233 = "Moderate", 50%, I233 = "Minor", 30%, I233 = "Negligible", 5%)</f>
        <v>0.3</v>
      </c>
      <c r="K233" s="125">
        <f t="shared" si="111"/>
        <v>1500000</v>
      </c>
      <c r="L233" s="25" cm="1">
        <f t="array" ref="L233">_xlfn.IFS(H233 = "Almost Certain", 0.8, H233 = "Likely", 0.75, H233 = "Possible", 0.5, H233 = "Unlikely", 0.25, H233= "Rare", 0.1)</f>
        <v>0.1</v>
      </c>
      <c r="M233" s="97">
        <f t="shared" si="114"/>
        <v>150000</v>
      </c>
      <c r="N233" s="97">
        <f t="shared" si="113"/>
        <v>150000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4" spans="1:14" ht="16" x14ac:dyDescent="0.2">
      <c r="D234" s="85">
        <v>5000000</v>
      </c>
      <c r="E234" s="26" t="s">
        <v>1336</v>
      </c>
      <c r="F234" s="27" t="s">
        <v>1507</v>
      </c>
      <c r="G234" s="282">
        <v>14</v>
      </c>
      <c r="H234" s="4" t="s">
        <v>1233</v>
      </c>
      <c r="I234" s="257" t="s">
        <v>993</v>
      </c>
      <c r="J234" s="118" cm="1">
        <f t="array" ref="J234">_xlfn.IFS(I234 = "Catastrophic", 90%, I234 = "Major", 70%, I234 = "Moderate", 50%, I234 = "Minor", 30%, I234 = "Negligible", 5%)</f>
        <v>0.3</v>
      </c>
      <c r="K234" s="125">
        <f t="shared" si="111"/>
        <v>1500000</v>
      </c>
      <c r="L234" s="25" cm="1">
        <f t="array" ref="L234">_xlfn.IFS(H234 = "Almost Certain", 0.8, H234 = "Likely", 0.75, H234 = "Possible", 0.5, H234 = "Unlikely", 0.25, H234= "Rare", 0.1)</f>
        <v>0.1</v>
      </c>
      <c r="M234" s="97">
        <f t="shared" si="114"/>
        <v>750000</v>
      </c>
      <c r="N234" s="97">
        <f t="shared" si="113"/>
        <v>750000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5" spans="1:14" ht="16" x14ac:dyDescent="0.2">
      <c r="D235" s="85">
        <v>5000000</v>
      </c>
      <c r="E235" s="26" t="s">
        <v>1343</v>
      </c>
      <c r="F235" s="27" t="s">
        <v>1505</v>
      </c>
      <c r="G235" s="282">
        <v>90</v>
      </c>
      <c r="H235" s="4" t="s">
        <v>838</v>
      </c>
      <c r="I235" s="257" t="s">
        <v>840</v>
      </c>
      <c r="J235" s="118" cm="1">
        <f t="array" ref="J235">_xlfn.IFS(I235 = "Catastrophic", 90%, I235 = "Major", 70%, I235 = "Moderate", 50%, I235 = "Minor", 30%, I235 = "Negligible", 5%)</f>
        <v>0.7</v>
      </c>
      <c r="K235" s="125">
        <f t="shared" si="111"/>
        <v>3500000</v>
      </c>
      <c r="L235" s="25" cm="1">
        <f t="array" ref="L235">_xlfn.IFS(H235 = "Almost Certain", 0.8, H235 = "Likely", 0.75, H235 = "Possible", 0.5, H235 = "Unlikely", 0.25, H235= "Rare", 0.1)</f>
        <v>0.5</v>
      </c>
      <c r="M235" s="97">
        <f t="shared" si="114"/>
        <v>1750000</v>
      </c>
      <c r="N235" s="97">
        <f t="shared" si="113"/>
        <v>1750000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6" spans="1:14" ht="16" x14ac:dyDescent="0.2">
      <c r="D236" s="85">
        <v>5000000</v>
      </c>
      <c r="E236" s="26" t="s">
        <v>1345</v>
      </c>
      <c r="F236" s="27" t="s">
        <v>1507</v>
      </c>
      <c r="G236" s="282">
        <v>30</v>
      </c>
      <c r="H236" s="4" t="s">
        <v>838</v>
      </c>
      <c r="I236" s="257" t="s">
        <v>840</v>
      </c>
      <c r="J236" s="118" cm="1">
        <f t="array" ref="J236">_xlfn.IFS(I236 = "Catastrophic", 90%, I236 = "Major", 70%, I236 = "Moderate", 50%, I236 = "Minor", 30%, I236 = "Negligible", 5%)</f>
        <v>0.7</v>
      </c>
      <c r="K236" s="125">
        <f t="shared" si="111"/>
        <v>3500000</v>
      </c>
      <c r="L236" s="25" cm="1">
        <f t="array" ref="L236">_xlfn.IFS(H236 = "Almost Certain", 0.8, H236 = "Likely", 0.75, H236 = "Possible", 0.5, H236 = "Unlikely", 0.25, H236= "Rare", 0.1)</f>
        <v>0.5</v>
      </c>
      <c r="M236" s="97">
        <f>K236*L238</f>
        <v>350000</v>
      </c>
      <c r="N236" s="97">
        <f t="shared" si="113"/>
        <v>350000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7" spans="1:14" ht="16" x14ac:dyDescent="0.2">
      <c r="D237" s="85">
        <v>5000000</v>
      </c>
      <c r="E237" s="26" t="s">
        <v>1352</v>
      </c>
      <c r="F237" s="27" t="s">
        <v>1505</v>
      </c>
      <c r="G237" s="282">
        <v>30</v>
      </c>
      <c r="H237" s="4" t="s">
        <v>1233</v>
      </c>
      <c r="I237" s="257" t="s">
        <v>993</v>
      </c>
      <c r="J237" s="118" cm="1">
        <f t="array" ref="J237">_xlfn.IFS(I237 = "Catastrophic", 90%, I237 = "Major", 70%, I237 = "Moderate", 50%, I237 = "Minor", 30%, I237 = "Negligible", 5%)</f>
        <v>0.3</v>
      </c>
      <c r="K237" s="125">
        <f>D237*J237</f>
        <v>1500000</v>
      </c>
      <c r="L237" s="25" cm="1">
        <f t="array" ref="L237">_xlfn.IFS(H237 = "Almost Certain", 0.8, H237 = "Likely", 0.75, H237 = "Possible", 0.5, H237 = "Unlikely", 0.25, H237= "Rare", 0.1)</f>
        <v>0.1</v>
      </c>
      <c r="M237" s="97">
        <f>K237*L231</f>
        <v>375000</v>
      </c>
      <c r="N237" s="97">
        <f>M237</f>
        <v>375000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8" spans="1:14" ht="14.5" customHeight="1" x14ac:dyDescent="0.2">
      <c r="B238" s="643" t="s">
        <v>581</v>
      </c>
      <c r="C238" s="640" t="s">
        <v>582</v>
      </c>
      <c r="D238" s="85">
        <v>10000000</v>
      </c>
      <c r="E238" s="26" t="s">
        <v>1197</v>
      </c>
      <c r="F238" s="27" t="s">
        <v>1505</v>
      </c>
      <c r="G238" s="282">
        <v>90</v>
      </c>
      <c r="H238" s="4" t="s">
        <v>1233</v>
      </c>
      <c r="I238" s="4" t="s">
        <v>840</v>
      </c>
      <c r="J238" s="118" cm="1">
        <f t="array" ref="J238">_xlfn.IFS(I238 = "Catastrophic", 90%, I238 = "Major", 70%, I238 = "Moderate", 50%, I238 = "Minor", 30%, I238 = "Negligible", 5%)</f>
        <v>0.7</v>
      </c>
      <c r="K238" s="125">
        <f t="shared" si="111"/>
        <v>7000000</v>
      </c>
      <c r="L238" s="25" cm="1">
        <f t="array" ref="L238">_xlfn.IFS(H238 = "Almost Certain", 0.8, H238 = "Likely", 0.75, H238 = "Possible", 0.5, H238 = "Unlikely", 0.25, H238= "Rare", 0.1)</f>
        <v>0.1</v>
      </c>
      <c r="M238" s="97">
        <f t="shared" ref="M238:M267" si="115">K238*L238</f>
        <v>700000</v>
      </c>
      <c r="N238" s="97">
        <f t="shared" si="113"/>
        <v>700000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9" spans="1:14" ht="16" x14ac:dyDescent="0.2">
      <c r="D239" s="85">
        <v>10000000</v>
      </c>
      <c r="E239" s="26" t="s">
        <v>1326</v>
      </c>
      <c r="F239" s="27" t="s">
        <v>1505</v>
      </c>
      <c r="G239" s="282">
        <v>30</v>
      </c>
      <c r="H239" s="4" t="s">
        <v>1233</v>
      </c>
      <c r="I239" s="257" t="s">
        <v>993</v>
      </c>
      <c r="J239" s="118" cm="1">
        <f t="array" ref="J239">_xlfn.IFS(I239 = "Catastrophic", 90%, I239 = "Major", 70%, I239 = "Moderate", 50%, I239 = "Minor", 30%, I239 = "Negligible", 5%)</f>
        <v>0.3</v>
      </c>
      <c r="K239" s="125">
        <f t="shared" si="111"/>
        <v>3000000</v>
      </c>
      <c r="L239" s="25" cm="1">
        <f t="array" ref="L239">_xlfn.IFS(H239 = "Almost Certain", 0.8, H239 = "Likely", 0.75, H239 = "Possible", 0.5, H239 = "Unlikely", 0.25, H239= "Rare", 0.1)</f>
        <v>0.1</v>
      </c>
      <c r="M239" s="97">
        <f t="shared" si="115"/>
        <v>300000</v>
      </c>
      <c r="N239" s="97">
        <f t="shared" si="113"/>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0" spans="1:14" ht="16" x14ac:dyDescent="0.2">
      <c r="D240" s="85">
        <v>10000000</v>
      </c>
      <c r="E240" s="26" t="s">
        <v>1329</v>
      </c>
      <c r="F240" s="27" t="s">
        <v>859</v>
      </c>
      <c r="G240" s="282">
        <v>30</v>
      </c>
      <c r="H240" s="4" t="s">
        <v>1025</v>
      </c>
      <c r="I240" s="4" t="s">
        <v>840</v>
      </c>
      <c r="J240" s="118" cm="1">
        <f t="array" ref="J240">_xlfn.IFS(I240 = "Catastrophic", 90%, I240 = "Major", 70%, I240 = "Moderate", 50%, I240 = "Minor", 30%, I240 = "Negligible", 5%)</f>
        <v>0.7</v>
      </c>
      <c r="K240" s="125">
        <f t="shared" si="111"/>
        <v>7000000</v>
      </c>
      <c r="L240" s="25" cm="1">
        <f t="array" ref="L240">_xlfn.IFS(H240 = "Almost Certain", 0.8, H240 = "Likely", 0.75, H240 = "Possible", 0.5, H240 = "Unlikely", 0.25, H240= "Rare", 0.1)</f>
        <v>0.25</v>
      </c>
      <c r="M240" s="97">
        <f t="shared" si="115"/>
        <v>1750000</v>
      </c>
      <c r="N240" s="97">
        <f t="shared" si="113"/>
        <v>1750000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1" spans="1:14" ht="16" x14ac:dyDescent="0.2">
      <c r="D241" s="85">
        <v>10000000</v>
      </c>
      <c r="E241" s="26" t="s">
        <v>1333</v>
      </c>
      <c r="F241" s="27" t="s">
        <v>1507</v>
      </c>
      <c r="G241" s="282">
        <v>14</v>
      </c>
      <c r="H241" s="4" t="s">
        <v>1233</v>
      </c>
      <c r="I241" s="4" t="s">
        <v>859</v>
      </c>
      <c r="J241" s="118" cm="1">
        <f t="array" ref="J241">_xlfn.IFS(I241 = "Catastrophic", 90%, I241 = "Major", 70%, I241 = "Moderate", 50%, I241 = "Minor", 30%, I241 = "Negligible", 5%)</f>
        <v>0.5</v>
      </c>
      <c r="K241" s="125">
        <f t="shared" si="111"/>
        <v>5000000</v>
      </c>
      <c r="L241" s="25" cm="1">
        <f t="array" ref="L241">_xlfn.IFS(H241 = "Almost Certain", 0.8, H241 = "Likely", 0.75, H241 = "Possible", 0.5, H241 = "Unlikely", 0.25, H241= "Rare", 0.1)</f>
        <v>0.1</v>
      </c>
      <c r="M241" s="97">
        <f t="shared" si="115"/>
        <v>500000</v>
      </c>
      <c r="N241" s="97">
        <f t="shared" si="113"/>
        <v>500000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2" spans="1:14" ht="16" x14ac:dyDescent="0.2">
      <c r="D242" s="85">
        <v>10000000</v>
      </c>
      <c r="E242" s="26" t="s">
        <v>1336</v>
      </c>
      <c r="F242" s="27" t="s">
        <v>1507</v>
      </c>
      <c r="G242" s="282">
        <v>14</v>
      </c>
      <c r="H242" s="4" t="s">
        <v>1233</v>
      </c>
      <c r="I242" s="257" t="s">
        <v>993</v>
      </c>
      <c r="J242" s="118" cm="1">
        <f t="array" ref="J242">_xlfn.IFS(I242 = "Catastrophic", 90%, I242 = "Major", 70%, I242 = "Moderate", 50%, I242 = "Minor", 30%, I242 = "Negligible", 5%)</f>
        <v>0.3</v>
      </c>
      <c r="K242" s="125">
        <f t="shared" si="111"/>
        <v>3000000</v>
      </c>
      <c r="L242" s="25" cm="1">
        <f t="array" ref="L242">_xlfn.IFS(H242 = "Almost Certain", 0.8, H242 = "Likely", 0.75, H242 = "Possible", 0.5, H242 = "Unlikely", 0.25, H242= "Rare", 0.1)</f>
        <v>0.1</v>
      </c>
      <c r="M242" s="97">
        <f t="shared" si="115"/>
        <v>300000</v>
      </c>
      <c r="N242" s="97">
        <f t="shared" si="113"/>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3" spans="1:14" ht="16" x14ac:dyDescent="0.2">
      <c r="D243" s="85">
        <v>10000000</v>
      </c>
      <c r="E243" s="26" t="s">
        <v>1343</v>
      </c>
      <c r="F243" s="27" t="s">
        <v>1505</v>
      </c>
      <c r="G243" s="282">
        <v>90</v>
      </c>
      <c r="H243" s="4" t="s">
        <v>1233</v>
      </c>
      <c r="I243" s="257" t="s">
        <v>993</v>
      </c>
      <c r="J243" s="118" cm="1">
        <f t="array" ref="J243">_xlfn.IFS(I243 = "Catastrophic", 90%, I243 = "Major", 70%, I243 = "Moderate", 50%, I243 = "Minor", 30%, I243 = "Negligible", 5%)</f>
        <v>0.3</v>
      </c>
      <c r="K243" s="125">
        <f t="shared" si="111"/>
        <v>3000000</v>
      </c>
      <c r="L243" s="25" cm="1">
        <f t="array" ref="L243">_xlfn.IFS(H243 = "Almost Certain", 0.8, H243 = "Likely", 0.75, H243 = "Possible", 0.5, H243 = "Unlikely", 0.25, H243= "Rare", 0.1)</f>
        <v>0.1</v>
      </c>
      <c r="M243" s="97">
        <f t="shared" si="115"/>
        <v>300000</v>
      </c>
      <c r="N243" s="97">
        <f t="shared" si="113"/>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4" spans="1:14" ht="16" x14ac:dyDescent="0.2">
      <c r="D244" s="85">
        <v>10000000</v>
      </c>
      <c r="E244" s="26" t="s">
        <v>1345</v>
      </c>
      <c r="F244" s="27" t="s">
        <v>1507</v>
      </c>
      <c r="G244" s="282">
        <v>30</v>
      </c>
      <c r="H244" s="4" t="s">
        <v>838</v>
      </c>
      <c r="I244" s="257" t="s">
        <v>840</v>
      </c>
      <c r="J244" s="118" cm="1">
        <f t="array" ref="J244">_xlfn.IFS(I244 = "Catastrophic", 90%, I244 = "Major", 70%, I244 = "Moderate", 50%, I244 = "Minor", 30%, I244 = "Negligible", 5%)</f>
        <v>0.7</v>
      </c>
      <c r="K244" s="125">
        <f t="shared" si="111"/>
        <v>7000000</v>
      </c>
      <c r="L244" s="25" cm="1">
        <f t="array" ref="L244">_xlfn.IFS(H244 = "Almost Certain", 0.8, H244 = "Likely", 0.75, H244 = "Possible", 0.5, H244 = "Unlikely", 0.25, H244= "Rare", 0.1)</f>
        <v>0.5</v>
      </c>
      <c r="M244" s="97">
        <f t="shared" si="115"/>
        <v>3500000</v>
      </c>
      <c r="N244" s="97">
        <f t="shared" si="113"/>
        <v>3500000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5" spans="1:14" ht="16" x14ac:dyDescent="0.2">
      <c r="D245" s="85">
        <v>10000000</v>
      </c>
      <c r="E245" s="26" t="s">
        <v>1352</v>
      </c>
      <c r="F245" s="27" t="s">
        <v>1505</v>
      </c>
      <c r="G245" s="282">
        <v>30</v>
      </c>
      <c r="H245" s="4" t="s">
        <v>1233</v>
      </c>
      <c r="I245" s="257" t="s">
        <v>993</v>
      </c>
      <c r="J245" s="118" cm="1">
        <f t="array" ref="J245">_xlfn.IFS(I245 = "Catastrophic", 90%, I245 = "Major", 70%, I245 = "Moderate", 50%, I245 = "Minor", 30%, I245 = "Negligible", 5%)</f>
        <v>0.3</v>
      </c>
      <c r="K245" s="125">
        <f>D245*J245</f>
        <v>3000000</v>
      </c>
      <c r="L245" s="25" cm="1">
        <f t="array" ref="L245">_xlfn.IFS(H245 = "Almost Certain", 0.8, H245 = "Likely", 0.75, H245 = "Possible", 0.5, H245 = "Unlikely", 0.25, H245= "Rare", 0.1)</f>
        <v>0.1</v>
      </c>
      <c r="M245" s="97">
        <f>K245*L245</f>
        <v>300000</v>
      </c>
      <c r="N245" s="97">
        <f>M245</f>
        <v>300000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6" spans="1:14" ht="14.5" customHeight="1" x14ac:dyDescent="0.2">
      <c r="B246" s="643" t="s">
        <v>585</v>
      </c>
      <c r="C246" s="640" t="s">
        <v>586</v>
      </c>
      <c r="D246" s="85">
        <v>1000000</v>
      </c>
      <c r="E246" s="26" t="s">
        <v>1197</v>
      </c>
      <c r="F246" s="27" t="s">
        <v>1505</v>
      </c>
      <c r="G246" s="282">
        <v>90</v>
      </c>
      <c r="H246" s="4" t="s">
        <v>850</v>
      </c>
      <c r="I246" s="257" t="s">
        <v>840</v>
      </c>
      <c r="J246" s="118" cm="1">
        <f t="array" ref="J246">_xlfn.IFS(I246 = "Catastrophic", 90%, I246 = "Major", 70%, I246 = "Moderate", 50%, I246 = "Minor", 30%, I246 = "Negligible", 5%)</f>
        <v>0.7</v>
      </c>
      <c r="K246" s="125">
        <f t="shared" ref="K246:K267" si="116">D246*J246</f>
        <v>700000</v>
      </c>
      <c r="L246" s="25" cm="1">
        <f t="array" ref="L246">_xlfn.IFS(H246 = "Almost Certain", 0.8, H246 = "Likely", 0.75, H246 = "Possible", 0.5, H246 = "Unlikely", 0.25, H246= "Rare", 0.1)</f>
        <v>0.75</v>
      </c>
      <c r="M246" s="97">
        <f t="shared" si="115"/>
        <v>525000</v>
      </c>
      <c r="N246" s="97">
        <f t="shared" ref="N246:N267" si="117">M246</f>
        <v>525000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7" spans="1:14" ht="16" x14ac:dyDescent="0.2">
      <c r="D247" s="85">
        <v>1000000</v>
      </c>
      <c r="E247" s="26" t="s">
        <v>1326</v>
      </c>
      <c r="F247" s="27" t="s">
        <v>1505</v>
      </c>
      <c r="G247" s="282">
        <v>30</v>
      </c>
      <c r="H247" s="4" t="s">
        <v>1233</v>
      </c>
      <c r="I247" s="4" t="s">
        <v>840</v>
      </c>
      <c r="J247" s="118" cm="1">
        <f t="array" ref="J247">_xlfn.IFS(I247 = "Catastrophic", 90%, I247 = "Major", 70%, I247 = "Moderate", 50%, I247 = "Minor", 30%, I247 = "Negligible", 5%)</f>
        <v>0.7</v>
      </c>
      <c r="K247" s="125">
        <f t="shared" si="116"/>
        <v>700000</v>
      </c>
      <c r="L247" s="25" cm="1">
        <f t="array" ref="L247">_xlfn.IFS(H247 = "Almost Certain", 0.8, H247 = "Likely", 0.75, H247 = "Possible", 0.5, H247 = "Unlikely", 0.25, H247= "Rare", 0.1)</f>
        <v>0.1</v>
      </c>
      <c r="M247" s="97">
        <f t="shared" si="115"/>
        <v>70000</v>
      </c>
      <c r="N247" s="97">
        <f t="shared" si="117"/>
        <v>70000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8" spans="1:14" ht="16" x14ac:dyDescent="0.2">
      <c r="D248" s="85">
        <v>1000000</v>
      </c>
      <c r="E248" s="26" t="s">
        <v>1329</v>
      </c>
      <c r="F248" s="27" t="s">
        <v>859</v>
      </c>
      <c r="G248" s="282">
        <v>30</v>
      </c>
      <c r="H248" s="4" t="s">
        <v>1233</v>
      </c>
      <c r="I248" s="257" t="s">
        <v>993</v>
      </c>
      <c r="J248" s="118" cm="1">
        <f t="array" ref="J248">_xlfn.IFS(I248 = "Catastrophic", 90%, I248 = "Major", 70%, I248 = "Moderate", 50%, I248 = "Minor", 30%, I248 = "Negligible", 5%)</f>
        <v>0.3</v>
      </c>
      <c r="K248" s="125">
        <f t="shared" si="116"/>
        <v>300000</v>
      </c>
      <c r="L248" s="25" cm="1">
        <f t="array" ref="L248">_xlfn.IFS(H248 = "Almost Certain", 0.8, H248 = "Likely", 0.75, H248 = "Possible", 0.5, H248 = "Unlikely", 0.25, H248= "Rare", 0.1)</f>
        <v>0.1</v>
      </c>
      <c r="M248" s="97">
        <f t="shared" si="115"/>
        <v>30000</v>
      </c>
      <c r="N248" s="97">
        <f t="shared" si="117"/>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9" spans="1:14" ht="16" x14ac:dyDescent="0.2">
      <c r="D249" s="85">
        <v>1000000</v>
      </c>
      <c r="E249" s="26" t="s">
        <v>1333</v>
      </c>
      <c r="F249" s="27" t="s">
        <v>1507</v>
      </c>
      <c r="G249" s="282">
        <v>14</v>
      </c>
      <c r="H249" s="4" t="s">
        <v>1233</v>
      </c>
      <c r="I249" s="257" t="s">
        <v>993</v>
      </c>
      <c r="J249" s="118" cm="1">
        <f t="array" ref="J249">_xlfn.IFS(I249 = "Catastrophic", 90%, I249 = "Major", 70%, I249 = "Moderate", 50%, I249 = "Minor", 30%, I249 = "Negligible", 5%)</f>
        <v>0.3</v>
      </c>
      <c r="K249" s="125">
        <f t="shared" si="116"/>
        <v>300000</v>
      </c>
      <c r="L249" s="25" cm="1">
        <f t="array" ref="L249">_xlfn.IFS(H249 = "Almost Certain", 0.8, H249 = "Likely", 0.75, H249 = "Possible", 0.5, H249 = "Unlikely", 0.25, H249= "Rare", 0.1)</f>
        <v>0.1</v>
      </c>
      <c r="M249" s="97">
        <f t="shared" si="115"/>
        <v>30000</v>
      </c>
      <c r="N249" s="97">
        <f t="shared" si="117"/>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0" spans="1:14" ht="16" x14ac:dyDescent="0.2">
      <c r="D250" s="85">
        <v>1000000</v>
      </c>
      <c r="E250" s="26" t="s">
        <v>1336</v>
      </c>
      <c r="F250" s="27" t="s">
        <v>1507</v>
      </c>
      <c r="G250" s="282">
        <v>14</v>
      </c>
      <c r="H250" s="4" t="s">
        <v>1025</v>
      </c>
      <c r="I250" s="4" t="s">
        <v>840</v>
      </c>
      <c r="J250" s="118" cm="1">
        <f t="array" ref="J250">_xlfn.IFS(I250 = "Catastrophic", 90%, I250 = "Major", 70%, I250 = "Moderate", 50%, I250 = "Minor", 30%, I250 = "Negligible", 5%)</f>
        <v>0.7</v>
      </c>
      <c r="K250" s="125">
        <f t="shared" si="116"/>
        <v>700000</v>
      </c>
      <c r="L250" s="25" cm="1">
        <f t="array" ref="L250">_xlfn.IFS(H250 = "Almost Certain", 0.8, H250 = "Likely", 0.75, H250 = "Possible", 0.5, H250 = "Unlikely", 0.25, H250= "Rare", 0.1)</f>
        <v>0.25</v>
      </c>
      <c r="M250" s="97">
        <f t="shared" si="115"/>
        <v>175000</v>
      </c>
      <c r="N250" s="97">
        <f t="shared" si="117"/>
        <v>175000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1" spans="1:14" ht="16" x14ac:dyDescent="0.2">
      <c r="D251" s="85">
        <v>1000000</v>
      </c>
      <c r="E251" s="26" t="s">
        <v>1343</v>
      </c>
      <c r="F251" s="27" t="s">
        <v>1505</v>
      </c>
      <c r="G251" s="282">
        <v>90</v>
      </c>
      <c r="H251" s="4" t="s">
        <v>1233</v>
      </c>
      <c r="I251" s="4" t="s">
        <v>859</v>
      </c>
      <c r="J251" s="118" cm="1">
        <f t="array" ref="J251">_xlfn.IFS(I251 = "Catastrophic", 90%, I251 = "Major", 70%, I251 = "Moderate", 50%, I251 = "Minor", 30%, I251 = "Negligible", 5%)</f>
        <v>0.5</v>
      </c>
      <c r="K251" s="125">
        <f t="shared" si="116"/>
        <v>500000</v>
      </c>
      <c r="L251" s="25" cm="1">
        <f t="array" ref="L251">_xlfn.IFS(H251 = "Almost Certain", 0.8, H251 = "Likely", 0.75, H251 = "Possible", 0.5, H251 = "Unlikely", 0.25, H251= "Rare", 0.1)</f>
        <v>0.1</v>
      </c>
      <c r="M251" s="97">
        <f t="shared" si="115"/>
        <v>50000</v>
      </c>
      <c r="N251" s="97">
        <f t="shared" si="117"/>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2" spans="1:14" ht="16" x14ac:dyDescent="0.2">
      <c r="D252" s="85">
        <v>1000000</v>
      </c>
      <c r="E252" s="26" t="s">
        <v>1345</v>
      </c>
      <c r="F252" s="27" t="s">
        <v>1507</v>
      </c>
      <c r="G252" s="282">
        <v>30</v>
      </c>
      <c r="H252" s="4" t="s">
        <v>1233</v>
      </c>
      <c r="I252" s="257" t="s">
        <v>993</v>
      </c>
      <c r="J252" s="118" cm="1">
        <f t="array" ref="J252">_xlfn.IFS(I252 = "Catastrophic", 90%, I252 = "Major", 70%, I252 = "Moderate", 50%, I252 = "Minor", 30%, I252 = "Negligible", 5%)</f>
        <v>0.3</v>
      </c>
      <c r="K252" s="125">
        <f t="shared" si="116"/>
        <v>300000</v>
      </c>
      <c r="L252" s="25" cm="1">
        <f t="array" ref="L252">_xlfn.IFS(H252 = "Almost Certain", 0.8, H252 = "Likely", 0.75, H252 = "Possible", 0.5, H252 = "Unlikely", 0.25, H252= "Rare", 0.1)</f>
        <v>0.1</v>
      </c>
      <c r="M252" s="97">
        <f t="shared" si="115"/>
        <v>30000</v>
      </c>
      <c r="N252" s="97">
        <f t="shared" si="117"/>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3" spans="1:14" ht="16" x14ac:dyDescent="0.2">
      <c r="D253" s="85">
        <v>1000000</v>
      </c>
      <c r="E253" s="26" t="s">
        <v>1352</v>
      </c>
      <c r="F253" s="27" t="s">
        <v>1505</v>
      </c>
      <c r="G253" s="282">
        <v>30</v>
      </c>
      <c r="H253" s="4" t="s">
        <v>838</v>
      </c>
      <c r="I253" s="257" t="s">
        <v>840</v>
      </c>
      <c r="J253" s="118" cm="1">
        <f t="array" ref="J253">_xlfn.IFS(I253 = "Catastrophic", 90%, I253 = "Major", 70%, I253 = "Moderate", 50%, I253 = "Minor", 30%, I253 = "Negligible", 5%)</f>
        <v>0.7</v>
      </c>
      <c r="K253" s="125">
        <f>D253*J253</f>
        <v>700000</v>
      </c>
      <c r="L253" s="25" cm="1">
        <f t="array" ref="L253">_xlfn.IFS(H253 = "Almost Certain", 0.8, H253 = "Likely", 0.75, H253 = "Possible", 0.5, H253 = "Unlikely", 0.25, H253= "Rare", 0.1)</f>
        <v>0.5</v>
      </c>
      <c r="M253" s="97">
        <f>K253*L253</f>
        <v>350000</v>
      </c>
      <c r="N253" s="97">
        <f>M253</f>
        <v>350000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4" spans="1:14" ht="14.5" customHeight="1" x14ac:dyDescent="0.2">
      <c r="B254" s="698" t="s">
        <v>591</v>
      </c>
      <c r="C254" s="699" t="s">
        <v>592</v>
      </c>
      <c r="D254" s="85">
        <v>2000000</v>
      </c>
      <c r="E254" s="26" t="s">
        <v>1197</v>
      </c>
      <c r="F254" s="27" t="s">
        <v>859</v>
      </c>
      <c r="G254" s="282">
        <v>90</v>
      </c>
      <c r="H254" s="4" t="s">
        <v>1233</v>
      </c>
      <c r="I254" s="257" t="s">
        <v>993</v>
      </c>
      <c r="J254" s="118" cm="1">
        <f t="array" ref="J254">_xlfn.IFS(I254 = "Catastrophic", 90%, I254 = "Major", 70%, I254 = "Moderate", 50%, I254 = "Minor", 30%, I254 = "Negligible", 5%)</f>
        <v>0.3</v>
      </c>
      <c r="K254" s="125">
        <f t="shared" si="116"/>
        <v>600000</v>
      </c>
      <c r="L254" s="25" cm="1">
        <f t="array" ref="L254">_xlfn.IFS(H254 = "Almost Certain", 0.8, H254 = "Likely", 0.75, H254 = "Possible", 0.5, H254 = "Unlikely", 0.25, H254= "Rare", 0.1)</f>
        <v>0.1</v>
      </c>
      <c r="M254" s="97">
        <f t="shared" si="115"/>
        <v>60000</v>
      </c>
      <c r="N254" s="97">
        <f t="shared" si="117"/>
        <v>60000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5" spans="1:14" ht="16" x14ac:dyDescent="0.2">
      <c r="D255" s="85">
        <v>2000000</v>
      </c>
      <c r="E255" s="26" t="s">
        <v>1326</v>
      </c>
      <c r="F255" s="27" t="s">
        <v>859</v>
      </c>
      <c r="G255" s="282">
        <v>30</v>
      </c>
      <c r="H255" s="4" t="s">
        <v>838</v>
      </c>
      <c r="I255" s="257" t="s">
        <v>840</v>
      </c>
      <c r="J255" s="118" cm="1">
        <f t="array" ref="J255">_xlfn.IFS(I255 = "Catastrophic", 90%, I255 = "Major", 70%, I255 = "Moderate", 50%, I255 = "Minor", 30%, I255 = "Negligible", 5%)</f>
        <v>0.7</v>
      </c>
      <c r="K255" s="125">
        <f t="shared" si="116"/>
        <v>1400000</v>
      </c>
      <c r="L255" s="25" cm="1">
        <f t="array" ref="L255">_xlfn.IFS(H255 = "Almost Certain", 0.8, H255 = "Likely", 0.75, H255 = "Possible", 0.5, H255 = "Unlikely", 0.25, H255= "Rare", 0.1)</f>
        <v>0.5</v>
      </c>
      <c r="M255" s="97">
        <f t="shared" si="115"/>
        <v>700000</v>
      </c>
      <c r="N255" s="97">
        <f t="shared" si="117"/>
        <v>700000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6" spans="1:14" ht="16" x14ac:dyDescent="0.2">
      <c r="D256" s="85">
        <v>2000000</v>
      </c>
      <c r="E256" s="26" t="s">
        <v>1329</v>
      </c>
      <c r="F256" s="27" t="s">
        <v>1507</v>
      </c>
      <c r="G256" s="282">
        <v>30</v>
      </c>
      <c r="H256" s="4" t="s">
        <v>850</v>
      </c>
      <c r="I256" s="257" t="s">
        <v>840</v>
      </c>
      <c r="J256" s="118" cm="1">
        <f t="array" ref="J256">_xlfn.IFS(I256 = "Catastrophic", 90%, I256 = "Major", 70%, I256 = "Moderate", 50%, I256 = "Minor", 30%, I256 = "Negligible", 5%)</f>
        <v>0.7</v>
      </c>
      <c r="K256" s="125">
        <f t="shared" si="116"/>
        <v>1400000</v>
      </c>
      <c r="L256" s="25" cm="1">
        <f t="array" ref="L256">_xlfn.IFS(H256 = "Almost Certain", 0.8, H256 = "Likely", 0.75, H256 = "Possible", 0.5, H256 = "Unlikely", 0.25, H256= "Rare", 0.1)</f>
        <v>0.75</v>
      </c>
      <c r="M256" s="97">
        <f t="shared" si="115"/>
        <v>1050000</v>
      </c>
      <c r="N256" s="97">
        <f t="shared" si="117"/>
        <v>1050000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7" spans="1:14" ht="16" x14ac:dyDescent="0.2">
      <c r="D257" s="85">
        <v>2000000</v>
      </c>
      <c r="E257" s="26" t="s">
        <v>1333</v>
      </c>
      <c r="F257" s="27" t="s">
        <v>1507</v>
      </c>
      <c r="G257" s="282">
        <v>14</v>
      </c>
      <c r="H257" s="4" t="s">
        <v>838</v>
      </c>
      <c r="I257" s="257" t="s">
        <v>840</v>
      </c>
      <c r="J257" s="118" cm="1">
        <f t="array" ref="J257">_xlfn.IFS(I257 = "Catastrophic", 90%, I257 = "Major", 70%, I257 = "Moderate", 50%, I257 = "Minor", 30%, I257 = "Negligible", 5%)</f>
        <v>0.7</v>
      </c>
      <c r="K257" s="125">
        <f t="shared" si="116"/>
        <v>1400000</v>
      </c>
      <c r="L257" s="25" cm="1">
        <f t="array" ref="L257">_xlfn.IFS(H257 = "Almost Certain", 0.8, H257 = "Likely", 0.75, H257 = "Possible", 0.5, H257 = "Unlikely", 0.25, H257= "Rare", 0.1)</f>
        <v>0.5</v>
      </c>
      <c r="M257" s="97">
        <f t="shared" si="115"/>
        <v>700000</v>
      </c>
      <c r="N257" s="97">
        <f t="shared" si="117"/>
        <v>700000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8" spans="1:14" ht="16" x14ac:dyDescent="0.2">
      <c r="D258" s="85">
        <v>2000000</v>
      </c>
      <c r="E258" s="26" t="s">
        <v>1336</v>
      </c>
      <c r="F258" s="27" t="s">
        <v>1507</v>
      </c>
      <c r="G258" s="282">
        <v>14</v>
      </c>
      <c r="H258" s="4" t="s">
        <v>1233</v>
      </c>
      <c r="I258" s="4" t="s">
        <v>840</v>
      </c>
      <c r="J258" s="118" cm="1">
        <f t="array" ref="J258">_xlfn.IFS(I258 = "Catastrophic", 90%, I258 = "Major", 70%, I258 = "Moderate", 50%, I258 = "Minor", 30%, I258 = "Negligible", 5%)</f>
        <v>0.7</v>
      </c>
      <c r="K258" s="125">
        <f t="shared" si="116"/>
        <v>1400000</v>
      </c>
      <c r="L258" s="25" cm="1">
        <f t="array" ref="L258">_xlfn.IFS(H258 = "Almost Certain", 0.8, H258 = "Likely", 0.75, H258 = "Possible", 0.5, H258 = "Unlikely", 0.25, H258= "Rare", 0.1)</f>
        <v>0.1</v>
      </c>
      <c r="M258" s="97">
        <f t="shared" si="115"/>
        <v>140000</v>
      </c>
      <c r="N258" s="97">
        <f t="shared" si="117"/>
        <v>140000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9" spans="1:14" ht="16" x14ac:dyDescent="0.2">
      <c r="D259" s="85">
        <v>2000000</v>
      </c>
      <c r="E259" s="26" t="s">
        <v>1343</v>
      </c>
      <c r="F259" s="27" t="s">
        <v>1507</v>
      </c>
      <c r="G259" s="282">
        <v>90</v>
      </c>
      <c r="H259" s="4" t="s">
        <v>1233</v>
      </c>
      <c r="I259" s="257" t="s">
        <v>993</v>
      </c>
      <c r="J259" s="118" cm="1">
        <f t="array" ref="J259">_xlfn.IFS(I259 = "Catastrophic", 90%, I259 = "Major", 70%, I259 = "Moderate", 50%, I259 = "Minor", 30%, I259 = "Negligible", 5%)</f>
        <v>0.3</v>
      </c>
      <c r="K259" s="125">
        <f t="shared" si="116"/>
        <v>600000</v>
      </c>
      <c r="L259" s="25" cm="1">
        <f t="array" ref="L259">_xlfn.IFS(H259 = "Almost Certain", 0.8, H259 = "Likely", 0.75, H259 = "Possible", 0.5, H259 = "Unlikely", 0.25, H259= "Rare", 0.1)</f>
        <v>0.1</v>
      </c>
      <c r="M259" s="97">
        <f t="shared" si="115"/>
        <v>60000</v>
      </c>
      <c r="N259" s="97">
        <f t="shared" si="117"/>
        <v>60000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0" spans="1:14" ht="16" x14ac:dyDescent="0.2">
      <c r="D260" s="85">
        <v>2000000</v>
      </c>
      <c r="E260" s="26" t="s">
        <v>1345</v>
      </c>
      <c r="F260" s="27" t="s">
        <v>1507</v>
      </c>
      <c r="G260" s="282">
        <v>30</v>
      </c>
      <c r="H260" s="4" t="s">
        <v>1233</v>
      </c>
      <c r="I260" s="257" t="s">
        <v>993</v>
      </c>
      <c r="J260" s="118" cm="1">
        <f t="array" ref="J260">_xlfn.IFS(I260 = "Catastrophic", 90%, I260 = "Major", 70%, I260 = "Moderate", 50%, I260 = "Minor", 30%, I260 = "Negligible", 5%)</f>
        <v>0.3</v>
      </c>
      <c r="K260" s="125">
        <f t="shared" si="116"/>
        <v>600000</v>
      </c>
      <c r="L260" s="25" cm="1">
        <f t="array" ref="L260">_xlfn.IFS(H260 = "Almost Certain", 0.8, H260 = "Likely", 0.75, H260 = "Possible", 0.5, H260 = "Unlikely", 0.25, H260= "Rare", 0.1)</f>
        <v>0.1</v>
      </c>
      <c r="M260" s="97">
        <f t="shared" si="115"/>
        <v>60000</v>
      </c>
      <c r="N260" s="97">
        <f t="shared" si="117"/>
        <v>60000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1" spans="1:14" ht="14.5" customHeight="1" x14ac:dyDescent="0.2">
      <c r="B261" s="698" t="s">
        <v>597</v>
      </c>
      <c r="C261" s="699" t="s">
        <v>1354</v>
      </c>
      <c r="D261" s="85">
        <v>500000</v>
      </c>
      <c r="E261" s="26" t="s">
        <v>1197</v>
      </c>
      <c r="F261" s="27" t="s">
        <v>859</v>
      </c>
      <c r="G261" s="282">
        <v>90</v>
      </c>
      <c r="H261" s="4" t="s">
        <v>1025</v>
      </c>
      <c r="I261" s="4" t="s">
        <v>840</v>
      </c>
      <c r="J261" s="118" cm="1">
        <f t="array" ref="J261">_xlfn.IFS(I261 = "Catastrophic", 90%, I261 = "Major", 70%, I261 = "Moderate", 50%, I261 = "Minor", 30%, I261 = "Negligible", 5%)</f>
        <v>0.7</v>
      </c>
      <c r="K261" s="125">
        <f t="shared" si="116"/>
        <v>350000</v>
      </c>
      <c r="L261" s="25" cm="1">
        <f t="array" ref="L261">_xlfn.IFS(H261 = "Almost Certain", 0.8, H261 = "Likely", 0.75, H261 = "Possible", 0.5, H261 = "Unlikely", 0.25, H261= "Rare", 0.1)</f>
        <v>0.25</v>
      </c>
      <c r="M261" s="97">
        <f t="shared" si="115"/>
        <v>87500</v>
      </c>
      <c r="N261" s="97">
        <f t="shared" si="117"/>
        <v>87500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2" spans="1:14" ht="16" x14ac:dyDescent="0.2">
      <c r="D262" s="85">
        <v>500000</v>
      </c>
      <c r="E262" s="26" t="s">
        <v>1326</v>
      </c>
      <c r="F262" s="27" t="s">
        <v>859</v>
      </c>
      <c r="G262" s="282">
        <v>30</v>
      </c>
      <c r="H262" s="4" t="s">
        <v>1233</v>
      </c>
      <c r="I262" s="4" t="s">
        <v>859</v>
      </c>
      <c r="J262" s="118" cm="1">
        <f t="array" ref="J262">_xlfn.IFS(I262 = "Catastrophic", 90%, I262 = "Major", 70%, I262 = "Moderate", 50%, I262 = "Minor", 30%, I262 = "Negligible", 5%)</f>
        <v>0.5</v>
      </c>
      <c r="K262" s="125">
        <f t="shared" si="116"/>
        <v>250000</v>
      </c>
      <c r="L262" s="25" cm="1">
        <f t="array" ref="L262">_xlfn.IFS(H262 = "Almost Certain", 0.8, H262 = "Likely", 0.75, H262 = "Possible", 0.5, H262 = "Unlikely", 0.25, H262= "Rare", 0.1)</f>
        <v>0.1</v>
      </c>
      <c r="M262" s="97">
        <f t="shared" si="115"/>
        <v>25000</v>
      </c>
      <c r="N262" s="97">
        <f t="shared" si="117"/>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3" spans="1:14" ht="16" x14ac:dyDescent="0.2">
      <c r="D263" s="85">
        <v>500000</v>
      </c>
      <c r="E263" s="26" t="s">
        <v>1329</v>
      </c>
      <c r="F263" s="27" t="s">
        <v>1507</v>
      </c>
      <c r="G263" s="282">
        <v>30</v>
      </c>
      <c r="H263" s="4" t="s">
        <v>1233</v>
      </c>
      <c r="I263" s="257" t="s">
        <v>993</v>
      </c>
      <c r="J263" s="118" cm="1">
        <f t="array" ref="J263">_xlfn.IFS(I263 = "Catastrophic", 90%, I263 = "Major", 70%, I263 = "Moderate", 50%, I263 = "Minor", 30%, I263 = "Negligible", 5%)</f>
        <v>0.3</v>
      </c>
      <c r="K263" s="125">
        <f t="shared" si="116"/>
        <v>150000</v>
      </c>
      <c r="L263" s="25" cm="1">
        <f t="array" ref="L263">_xlfn.IFS(H263 = "Almost Certain", 0.8, H263 = "Likely", 0.75, H263 = "Possible", 0.5, H263 = "Unlikely", 0.25, H263= "Rare", 0.1)</f>
        <v>0.1</v>
      </c>
      <c r="M263" s="97">
        <f t="shared" si="115"/>
        <v>15000</v>
      </c>
      <c r="N263" s="97">
        <f t="shared" si="117"/>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4" spans="1:14" ht="16" x14ac:dyDescent="0.2">
      <c r="D264" s="85">
        <v>500000</v>
      </c>
      <c r="E264" s="26" t="s">
        <v>1333</v>
      </c>
      <c r="F264" s="27" t="s">
        <v>1507</v>
      </c>
      <c r="G264" s="282">
        <v>14</v>
      </c>
      <c r="H264" s="4" t="s">
        <v>1233</v>
      </c>
      <c r="I264" s="257" t="s">
        <v>993</v>
      </c>
      <c r="J264" s="118" cm="1">
        <f t="array" ref="J264">_xlfn.IFS(I264 = "Catastrophic", 90%, I264 = "Major", 70%, I264 = "Moderate", 50%, I264 = "Minor", 30%, I264 = "Negligible", 5%)</f>
        <v>0.3</v>
      </c>
      <c r="K264" s="125">
        <f t="shared" si="116"/>
        <v>150000</v>
      </c>
      <c r="L264" s="25" cm="1">
        <f t="array" ref="L264">_xlfn.IFS(H264 = "Almost Certain", 0.8, H264 = "Likely", 0.75, H264 = "Possible", 0.5, H264 = "Unlikely", 0.25, H264= "Rare", 0.1)</f>
        <v>0.1</v>
      </c>
      <c r="M264" s="97">
        <f t="shared" si="115"/>
        <v>15000</v>
      </c>
      <c r="N264" s="97">
        <f t="shared" si="117"/>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5" spans="1:14" ht="16" x14ac:dyDescent="0.2">
      <c r="D265" s="85">
        <v>500000</v>
      </c>
      <c r="E265" s="26" t="s">
        <v>1336</v>
      </c>
      <c r="F265" s="27" t="s">
        <v>1507</v>
      </c>
      <c r="G265" s="282">
        <v>14</v>
      </c>
      <c r="H265" s="4" t="s">
        <v>838</v>
      </c>
      <c r="I265" s="257" t="s">
        <v>840</v>
      </c>
      <c r="J265" s="118" cm="1">
        <f t="array" ref="J265">_xlfn.IFS(I265 = "Catastrophic", 90%, I265 = "Major", 70%, I265 = "Moderate", 50%, I265 = "Minor", 30%, I265 = "Negligible", 5%)</f>
        <v>0.7</v>
      </c>
      <c r="K265" s="125">
        <f t="shared" si="116"/>
        <v>350000</v>
      </c>
      <c r="L265" s="25" cm="1">
        <f t="array" ref="L265">_xlfn.IFS(H265 = "Almost Certain", 0.8, H265 = "Likely", 0.75, H265 = "Possible", 0.5, H265 = "Unlikely", 0.25, H265= "Rare", 0.1)</f>
        <v>0.5</v>
      </c>
      <c r="M265" s="97">
        <f t="shared" si="115"/>
        <v>175000</v>
      </c>
      <c r="N265" s="97">
        <f t="shared" si="117"/>
        <v>175000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6" spans="1:14" ht="16" x14ac:dyDescent="0.2">
      <c r="D266" s="85">
        <v>500000</v>
      </c>
      <c r="E266" s="26" t="s">
        <v>1343</v>
      </c>
      <c r="F266" s="27" t="s">
        <v>1507</v>
      </c>
      <c r="G266" s="282">
        <v>90</v>
      </c>
      <c r="H266" s="4" t="s">
        <v>850</v>
      </c>
      <c r="I266" s="257" t="s">
        <v>840</v>
      </c>
      <c r="J266" s="118" cm="1">
        <f t="array" ref="J266">_xlfn.IFS(I266 = "Catastrophic", 90%, I266 = "Major", 70%, I266 = "Moderate", 50%, I266 = "Minor", 30%, I266 = "Negligible", 5%)</f>
        <v>0.7</v>
      </c>
      <c r="K266" s="125">
        <f t="shared" si="116"/>
        <v>350000</v>
      </c>
      <c r="L266" s="25" cm="1">
        <f t="array" ref="L266">_xlfn.IFS(H266 = "Almost Certain", 0.8, H266 = "Likely", 0.75, H266 = "Possible", 0.5, H266 = "Unlikely", 0.25, H266= "Rare", 0.1)</f>
        <v>0.75</v>
      </c>
      <c r="M266" s="97">
        <f t="shared" si="115"/>
        <v>262500</v>
      </c>
      <c r="N266" s="97">
        <f t="shared" si="117"/>
        <v>262500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7" spans="1:14" ht="16" x14ac:dyDescent="0.2">
      <c r="D267" s="85">
        <v>500000</v>
      </c>
      <c r="E267" s="26" t="s">
        <v>1345</v>
      </c>
      <c r="F267" s="27" t="s">
        <v>1507</v>
      </c>
      <c r="G267" s="282">
        <v>30</v>
      </c>
      <c r="H267" s="4" t="s">
        <v>838</v>
      </c>
      <c r="I267" s="257" t="s">
        <v>840</v>
      </c>
      <c r="J267" s="118" cm="1">
        <f t="array" ref="J267">_xlfn.IFS(I267 = "Catastrophic", 90%, I267 = "Major", 70%, I267 = "Moderate", 50%, I267 = "Minor", 30%, I267 = "Negligible", 5%)</f>
        <v>0.7</v>
      </c>
      <c r="K267" s="125">
        <f t="shared" si="116"/>
        <v>350000</v>
      </c>
      <c r="L267" s="25" cm="1">
        <f t="array" ref="L267">_xlfn.IFS(H267 = "Almost Certain", 0.8, H267 = "Likely", 0.75, H267 = "Possible", 0.5, H267 = "Unlikely", 0.25, H267= "Rare", 0.1)</f>
        <v>0.5</v>
      </c>
      <c r="M267" s="97">
        <f t="shared" si="115"/>
        <v>175000</v>
      </c>
      <c r="N267" s="97">
        <f t="shared" si="117"/>
        <v>175000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9" spans="1:14" x14ac:dyDescent="0.2">
      <c r="A269" s="649" t="s">
        <v>602</v>
      </c>
      <c r="B269" s="646" t="s">
        <v>605</v>
      </c>
      <c r="C269" s="646" t="s">
        <v>606</v>
      </c>
      <c r="D269" s="652">
        <v>150000</v>
      </c>
      <c r="E269" s="3" t="s">
        <v>1355</v>
      </c>
      <c r="F269" s="3" t="s">
        <v>868</v>
      </c>
      <c r="G269" s="289">
        <v>5</v>
      </c>
      <c r="H269" s="35" t="s">
        <v>850</v>
      </c>
      <c r="I269" s="35" t="s">
        <v>840</v>
      </c>
      <c r="J269" s="60" cm="1">
        <f t="array" ref="J269">_xlfn.IFS(I269 = "Catastrophic", 90%, I269 = "Major", 70%, I269 = "Moderate", 50%, I269 = "Minor", 30%, I269 = "Negligible", 5%)</f>
        <v>0.7</v>
      </c>
      <c r="K269" s="128">
        <f>D269*J269</f>
        <v>105000</v>
      </c>
      <c r="L269" s="25" cm="1">
        <f t="array" ref="L269">_xlfn.IFS(H269 = "Almost Certain", 0.8, H269 = "Likely", 0.75, H269 = "Possible", 0.5, H269 = "Unlikely", 0.25, H269= "Rare", 0.1)</f>
        <v>0.75</v>
      </c>
      <c r="M269" s="119">
        <f t="shared" ref="M269:M313" si="118">K269*L269</f>
        <v>78750</v>
      </c>
      <c r="N269" s="119">
        <f t="shared" ref="N269:N313" si="119">M269</f>
        <v>78750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0" spans="1:14" ht="30.75" customHeight="1" x14ac:dyDescent="0.2">
      <c r="E270" s="3" t="s">
        <v>1358</v>
      </c>
      <c r="F270" s="3" t="s">
        <v>1505</v>
      </c>
      <c r="G270" s="289">
        <v>7</v>
      </c>
      <c r="H270" s="35" t="s">
        <v>838</v>
      </c>
      <c r="I270" s="35" t="s">
        <v>840</v>
      </c>
      <c r="J270" s="60" cm="1">
        <f t="array" ref="J270">_xlfn.IFS(I270 = "Catastrophic", 90%, I270 = "Major", 70%, I270 = "Moderate", 50%, I270 = "Minor", 30%, I270 = "Negligible", 5%)</f>
        <v>0.7</v>
      </c>
      <c r="K270" s="128">
        <f>D269*J270</f>
        <v>105000</v>
      </c>
      <c r="L270" s="25" cm="1">
        <f t="array" ref="L270">_xlfn.IFS(H270 = "Almost Certain", 0.8, H270 = "Likely", 0.75, H270 = "Possible", 0.5, H270 = "Unlikely", 0.25, H270= "Rare", 0.1)</f>
        <v>0.5</v>
      </c>
      <c r="M270" s="119">
        <f t="shared" si="118"/>
        <v>52500</v>
      </c>
      <c r="N270" s="119">
        <f t="shared" si="119"/>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1" spans="1:14" x14ac:dyDescent="0.2">
      <c r="E271" s="3" t="s">
        <v>1360</v>
      </c>
      <c r="F271" s="3" t="s">
        <v>1505</v>
      </c>
      <c r="G271" s="289">
        <v>10</v>
      </c>
      <c r="H271" s="35" t="s">
        <v>1025</v>
      </c>
      <c r="I271" s="35" t="s">
        <v>859</v>
      </c>
      <c r="J271" s="60" cm="1">
        <f t="array" ref="J271">_xlfn.IFS(I271 = "Catastrophic", 90%, I271 = "Major", 70%, I271 = "Moderate", 50%, I271 = "Minor", 30%, I271 = "Negligible", 5%)</f>
        <v>0.5</v>
      </c>
      <c r="K271" s="128">
        <f>D269*J271</f>
        <v>75000</v>
      </c>
      <c r="L271" s="25" cm="1">
        <f t="array" ref="L271">_xlfn.IFS(H271 = "Almost Certain", 0.8, H271 = "Likely", 0.75, H271 = "Possible", 0.5, H271 = "Unlikely", 0.25, H271= "Rare", 0.1)</f>
        <v>0.25</v>
      </c>
      <c r="M271" s="119">
        <f t="shared" si="118"/>
        <v>18750</v>
      </c>
      <c r="N271" s="119">
        <f t="shared" si="119"/>
        <v>18750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2" spans="1:14" s="16" customFormat="1" x14ac:dyDescent="0.2">
      <c r="B272" s="646" t="s">
        <v>612</v>
      </c>
      <c r="C272" s="646" t="s">
        <v>613</v>
      </c>
      <c r="D272" s="652">
        <v>250000</v>
      </c>
      <c r="E272" s="3" t="s">
        <v>1363</v>
      </c>
      <c r="F272" s="3" t="s">
        <v>868</v>
      </c>
      <c r="G272" s="289">
        <v>6</v>
      </c>
      <c r="H272" s="35" t="s">
        <v>1025</v>
      </c>
      <c r="I272" s="35" t="s">
        <v>840</v>
      </c>
      <c r="J272" s="60" cm="1">
        <f t="array" ref="J272">_xlfn.IFS(I272 = "Catastrophic", 90%, I272 = "Major", 70%, I272 = "Moderate", 50%, I272 = "Minor", 30%, I272 = "Negligible", 5%)</f>
        <v>0.7</v>
      </c>
      <c r="K272" s="128">
        <f>D272*J272</f>
        <v>175000</v>
      </c>
      <c r="L272" s="25" cm="1">
        <f t="array" ref="L272">_xlfn.IFS(H272 = "Almost Certain", 0.8, H272 = "Likely", 0.75, H272 = "Possible", 0.5, H272 = "Unlikely", 0.25, H272= "Rare", 0.1)</f>
        <v>0.25</v>
      </c>
      <c r="M272" s="119">
        <f t="shared" si="118"/>
        <v>43750</v>
      </c>
      <c r="N272" s="119">
        <f t="shared" si="119"/>
        <v>43750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3" spans="1:14" x14ac:dyDescent="0.2">
      <c r="E273" s="3" t="s">
        <v>1364</v>
      </c>
      <c r="F273" s="3" t="s">
        <v>868</v>
      </c>
      <c r="G273" s="289">
        <v>7</v>
      </c>
      <c r="H273" s="35" t="s">
        <v>1025</v>
      </c>
      <c r="I273" s="35" t="s">
        <v>859</v>
      </c>
      <c r="J273" s="60" cm="1">
        <f t="array" ref="J273">_xlfn.IFS(I273 = "Catastrophic", 90%, I273 = "Major", 70%, I273 = "Moderate", 50%, I273 = "Minor", 30%, I273 = "Negligible", 5%)</f>
        <v>0.5</v>
      </c>
      <c r="K273" s="128">
        <f>D272*J273</f>
        <v>125000</v>
      </c>
      <c r="L273" s="25" cm="1">
        <f t="array" ref="L273">_xlfn.IFS(H273 = "Almost Certain", 0.8, H273 = "Likely", 0.75, H273 = "Possible", 0.5, H273 = "Unlikely", 0.25, H273= "Rare", 0.1)</f>
        <v>0.25</v>
      </c>
      <c r="M273" s="119">
        <f t="shared" si="118"/>
        <v>31250</v>
      </c>
      <c r="N273" s="119">
        <f t="shared" si="119"/>
        <v>31250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4" spans="1:14" ht="30.75" customHeight="1" x14ac:dyDescent="0.2">
      <c r="E274" s="3" t="s">
        <v>1366</v>
      </c>
      <c r="F274" s="3" t="s">
        <v>1505</v>
      </c>
      <c r="G274" s="289">
        <v>8</v>
      </c>
      <c r="H274" s="35" t="s">
        <v>1025</v>
      </c>
      <c r="I274" s="35" t="s">
        <v>840</v>
      </c>
      <c r="J274" s="60" cm="1">
        <f t="array" ref="J274">_xlfn.IFS(I274 = "Catastrophic", 90%, I274 = "Major", 70%, I274 = "Moderate", 50%, I274 = "Minor", 30%, I274 = "Negligible", 5%)</f>
        <v>0.7</v>
      </c>
      <c r="K274" s="128">
        <f>D272*J274</f>
        <v>175000</v>
      </c>
      <c r="L274" s="25" cm="1">
        <f t="array" ref="L274">_xlfn.IFS(H274 = "Almost Certain", 0.8, H274 = "Likely", 0.75, H274 = "Possible", 0.5, H274 = "Unlikely", 0.25, H274= "Rare", 0.1)</f>
        <v>0.25</v>
      </c>
      <c r="M274" s="119">
        <f t="shared" si="118"/>
        <v>43750</v>
      </c>
      <c r="N274" s="119">
        <f t="shared" si="119"/>
        <v>43750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5" spans="1:14" x14ac:dyDescent="0.2">
      <c r="B275" s="646" t="s">
        <v>618</v>
      </c>
      <c r="C275" s="646" t="s">
        <v>619</v>
      </c>
      <c r="D275" s="652">
        <v>100000</v>
      </c>
      <c r="E275" s="3" t="s">
        <v>1218</v>
      </c>
      <c r="F275" s="3" t="s">
        <v>868</v>
      </c>
      <c r="G275" s="289">
        <v>6</v>
      </c>
      <c r="H275" s="35" t="s">
        <v>838</v>
      </c>
      <c r="I275" s="35" t="s">
        <v>840</v>
      </c>
      <c r="J275" s="60" cm="1">
        <f t="array" ref="J275">_xlfn.IFS(I275 = "Catastrophic", 90%, I275 = "Major", 70%, I275 = "Moderate", 50%, I275 = "Minor", 30%, I275 = "Negligible", 5%)</f>
        <v>0.7</v>
      </c>
      <c r="K275" s="128">
        <f>D275*J275</f>
        <v>70000</v>
      </c>
      <c r="L275" s="25" cm="1">
        <f t="array" ref="L275">_xlfn.IFS(H275 = "Almost Certain", 0.8, H275 = "Likely", 0.75, H275 = "Possible", 0.5, H275 = "Unlikely", 0.25, H275= "Rare", 0.1)</f>
        <v>0.5</v>
      </c>
      <c r="M275" s="119">
        <f t="shared" si="118"/>
        <v>35000</v>
      </c>
      <c r="N275" s="119">
        <f t="shared" si="119"/>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6" spans="1:14" s="16" customFormat="1" x14ac:dyDescent="0.2">
      <c r="E276" s="3" t="s">
        <v>1368</v>
      </c>
      <c r="F276" s="3" t="s">
        <v>1505</v>
      </c>
      <c r="G276" s="289">
        <v>9</v>
      </c>
      <c r="H276" s="35" t="s">
        <v>838</v>
      </c>
      <c r="I276" s="35" t="s">
        <v>840</v>
      </c>
      <c r="J276" s="60" cm="1">
        <f t="array" ref="J276">_xlfn.IFS(I276 = "Catastrophic", 90%, I276 = "Major", 70%, I276 = "Moderate", 50%, I276 = "Minor", 30%, I276 = "Negligible", 5%)</f>
        <v>0.7</v>
      </c>
      <c r="K276" s="128">
        <f>D275*J276</f>
        <v>70000</v>
      </c>
      <c r="L276" s="25" cm="1">
        <f t="array" ref="L276">_xlfn.IFS(H276 = "Almost Certain", 0.8, H276 = "Likely", 0.75, H276 = "Possible", 0.5, H276 = "Unlikely", 0.25, H276= "Rare", 0.1)</f>
        <v>0.5</v>
      </c>
      <c r="M276" s="119">
        <f t="shared" si="118"/>
        <v>35000</v>
      </c>
      <c r="N276" s="119">
        <f t="shared" si="119"/>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7" spans="1:14" x14ac:dyDescent="0.2">
      <c r="E277" s="3" t="s">
        <v>1369</v>
      </c>
      <c r="F277" s="3" t="s">
        <v>868</v>
      </c>
      <c r="G277" s="289">
        <v>6</v>
      </c>
      <c r="H277" s="35" t="s">
        <v>1025</v>
      </c>
      <c r="I277" s="35" t="s">
        <v>859</v>
      </c>
      <c r="J277" s="60" cm="1">
        <f t="array" ref="J277">_xlfn.IFS(I277 = "Catastrophic", 90%, I277 = "Major", 70%, I277 = "Moderate", 50%, I277 = "Minor", 30%, I277 = "Negligible", 5%)</f>
        <v>0.5</v>
      </c>
      <c r="K277" s="128">
        <f>D275*J277</f>
        <v>50000</v>
      </c>
      <c r="L277" s="25" cm="1">
        <f t="array" ref="L277">_xlfn.IFS(H277 = "Almost Certain", 0.8, H277 = "Likely", 0.75, H277 = "Possible", 0.5, H277 = "Unlikely", 0.25, H277= "Rare", 0.1)</f>
        <v>0.25</v>
      </c>
      <c r="M277" s="119">
        <f t="shared" si="118"/>
        <v>12500</v>
      </c>
      <c r="N277" s="119">
        <f t="shared" si="119"/>
        <v>12500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8" spans="1:14" x14ac:dyDescent="0.2">
      <c r="B278" s="646" t="s">
        <v>626</v>
      </c>
      <c r="C278" s="646" t="s">
        <v>627</v>
      </c>
      <c r="D278" s="652">
        <v>120000</v>
      </c>
      <c r="E278" s="3" t="s">
        <v>1371</v>
      </c>
      <c r="F278" s="3" t="s">
        <v>1505</v>
      </c>
      <c r="G278" s="289">
        <v>10</v>
      </c>
      <c r="H278" s="35" t="s">
        <v>838</v>
      </c>
      <c r="I278" s="35" t="s">
        <v>840</v>
      </c>
      <c r="J278" s="60" cm="1">
        <f t="array" ref="J278">_xlfn.IFS(I278 = "Catastrophic", 90%, I278 = "Major", 70%, I278 = "Moderate", 50%, I278 = "Minor", 30%, I278 = "Negligible", 5%)</f>
        <v>0.7</v>
      </c>
      <c r="K278" s="128">
        <f>D278*J278</f>
        <v>84000</v>
      </c>
      <c r="L278" s="25" cm="1">
        <f t="array" ref="L278">_xlfn.IFS(H278 = "Almost Certain", 0.8, H278 = "Likely", 0.75, H278 = "Possible", 0.5, H278 = "Unlikely", 0.25, H278= "Rare", 0.1)</f>
        <v>0.5</v>
      </c>
      <c r="M278" s="119">
        <f t="shared" si="118"/>
        <v>42000</v>
      </c>
      <c r="N278" s="119">
        <f t="shared" si="119"/>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9" spans="1:14" ht="30.75" customHeight="1" x14ac:dyDescent="0.2">
      <c r="E279" s="3" t="s">
        <v>1373</v>
      </c>
      <c r="F279" s="3" t="s">
        <v>1505</v>
      </c>
      <c r="G279" s="289">
        <v>9</v>
      </c>
      <c r="H279" s="35" t="s">
        <v>838</v>
      </c>
      <c r="I279" s="35" t="s">
        <v>840</v>
      </c>
      <c r="J279" s="60" cm="1">
        <f t="array" ref="J279">_xlfn.IFS(I279 = "Catastrophic", 90%, I279 = "Major", 70%, I279 = "Moderate", 50%, I279 = "Minor", 30%, I279 = "Negligible", 5%)</f>
        <v>0.7</v>
      </c>
      <c r="K279" s="128">
        <f>D278*J279</f>
        <v>84000</v>
      </c>
      <c r="L279" s="25" cm="1">
        <f t="array" ref="L279">_xlfn.IFS(H279 = "Almost Certain", 0.8, H279 = "Likely", 0.75, H279 = "Possible", 0.5, H279 = "Unlikely", 0.25, H279= "Rare", 0.1)</f>
        <v>0.5</v>
      </c>
      <c r="M279" s="119">
        <f t="shared" si="118"/>
        <v>42000</v>
      </c>
      <c r="N279" s="119">
        <f t="shared" si="119"/>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0" spans="1:14" x14ac:dyDescent="0.2">
      <c r="E280" s="3" t="s">
        <v>1376</v>
      </c>
      <c r="F280" s="3" t="s">
        <v>868</v>
      </c>
      <c r="G280" s="289">
        <v>6</v>
      </c>
      <c r="H280" s="35" t="s">
        <v>1025</v>
      </c>
      <c r="I280" s="35" t="s">
        <v>859</v>
      </c>
      <c r="J280" s="60" cm="1">
        <f t="array" ref="J280">_xlfn.IFS(I280 = "Catastrophic", 90%, I280 = "Major", 70%, I280 = "Moderate", 50%, I280 = "Minor", 30%, I280 = "Negligible", 5%)</f>
        <v>0.5</v>
      </c>
      <c r="K280" s="128">
        <f>D278*J280</f>
        <v>60000</v>
      </c>
      <c r="L280" s="25" cm="1">
        <f t="array" ref="L280">_xlfn.IFS(H280 = "Almost Certain", 0.8, H280 = "Likely", 0.75, H280 = "Possible", 0.5, H280 = "Unlikely", 0.25, H280= "Rare", 0.1)</f>
        <v>0.25</v>
      </c>
      <c r="M280" s="119">
        <f t="shared" si="118"/>
        <v>15000</v>
      </c>
      <c r="N280" s="119">
        <f t="shared" si="119"/>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1" spans="1:14" x14ac:dyDescent="0.2">
      <c r="B281" s="646" t="s">
        <v>632</v>
      </c>
      <c r="C281" s="646" t="s">
        <v>633</v>
      </c>
      <c r="D281" s="652">
        <v>75000</v>
      </c>
      <c r="E281" s="3" t="s">
        <v>1378</v>
      </c>
      <c r="F281" s="3" t="s">
        <v>1505</v>
      </c>
      <c r="G281" s="289">
        <v>10</v>
      </c>
      <c r="H281" s="35" t="s">
        <v>850</v>
      </c>
      <c r="I281" s="35" t="s">
        <v>840</v>
      </c>
      <c r="J281" s="60" cm="1">
        <f t="array" ref="J281">_xlfn.IFS(I281 = "Catastrophic", 90%, I281 = "Major", 70%, I281 = "Moderate", 50%, I281 = "Minor", 30%, I281 = "Negligible", 5%)</f>
        <v>0.7</v>
      </c>
      <c r="K281" s="128">
        <f>D281*J281</f>
        <v>52500</v>
      </c>
      <c r="L281" s="25" cm="1">
        <f t="array" ref="L281">_xlfn.IFS(H281 = "Almost Certain", 0.8, H281 = "Likely", 0.75, H281 = "Possible", 0.5, H281 = "Unlikely", 0.25, H281= "Rare", 0.1)</f>
        <v>0.75</v>
      </c>
      <c r="M281" s="119">
        <f t="shared" si="118"/>
        <v>39375</v>
      </c>
      <c r="N281" s="119">
        <f t="shared" si="119"/>
        <v>39375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2" spans="1:14" x14ac:dyDescent="0.2">
      <c r="E282" s="3" t="s">
        <v>1380</v>
      </c>
      <c r="F282" s="3" t="s">
        <v>868</v>
      </c>
      <c r="G282" s="289">
        <v>7</v>
      </c>
      <c r="H282" s="35" t="s">
        <v>1025</v>
      </c>
      <c r="I282" s="35" t="s">
        <v>840</v>
      </c>
      <c r="J282" s="60" cm="1">
        <f t="array" ref="J282">_xlfn.IFS(I282 = "Catastrophic", 90%, I282 = "Major", 70%, I282 = "Moderate", 50%, I282 = "Minor", 30%, I282 = "Negligible", 5%)</f>
        <v>0.7</v>
      </c>
      <c r="K282" s="128">
        <f>D281*J282</f>
        <v>52500</v>
      </c>
      <c r="L282" s="25" cm="1">
        <f t="array" ref="L282">_xlfn.IFS(H282 = "Almost Certain", 0.8, H282 = "Likely", 0.75, H282 = "Possible", 0.5, H282 = "Unlikely", 0.25, H282= "Rare", 0.1)</f>
        <v>0.25</v>
      </c>
      <c r="M282" s="119">
        <f t="shared" si="118"/>
        <v>13125</v>
      </c>
      <c r="N282" s="119">
        <f t="shared" si="119"/>
        <v>13125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3" spans="1:14" ht="30.75" customHeight="1" x14ac:dyDescent="0.2">
      <c r="E283" s="3" t="s">
        <v>1382</v>
      </c>
      <c r="F283" s="3" t="s">
        <v>1505</v>
      </c>
      <c r="G283" s="289">
        <v>9</v>
      </c>
      <c r="H283" s="35" t="s">
        <v>838</v>
      </c>
      <c r="I283" s="35" t="s">
        <v>840</v>
      </c>
      <c r="J283" s="60" cm="1">
        <f t="array" ref="J283">_xlfn.IFS(I283 = "Catastrophic", 90%, I283 = "Major", 70%, I283 = "Moderate", 50%, I283 = "Minor", 30%, I283 = "Negligible", 5%)</f>
        <v>0.7</v>
      </c>
      <c r="K283" s="128">
        <f>D281*J283</f>
        <v>52500</v>
      </c>
      <c r="L283" s="25" cm="1">
        <f t="array" ref="L283">_xlfn.IFS(H283 = "Almost Certain", 0.8, H283 = "Likely", 0.75, H283 = "Possible", 0.5, H283 = "Unlikely", 0.25, H283= "Rare", 0.1)</f>
        <v>0.5</v>
      </c>
      <c r="M283" s="119">
        <f t="shared" si="118"/>
        <v>26250</v>
      </c>
      <c r="N283" s="119">
        <f t="shared" si="119"/>
        <v>26250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4" spans="1:14" x14ac:dyDescent="0.2">
      <c r="B284" s="646" t="s">
        <v>639</v>
      </c>
      <c r="C284" s="646" t="s">
        <v>640</v>
      </c>
      <c r="D284" s="652">
        <v>50000</v>
      </c>
      <c r="E284" s="3" t="s">
        <v>1384</v>
      </c>
      <c r="F284" s="3" t="s">
        <v>868</v>
      </c>
      <c r="G284" s="289">
        <v>6</v>
      </c>
      <c r="H284" s="35" t="s">
        <v>838</v>
      </c>
      <c r="I284" s="35" t="s">
        <v>840</v>
      </c>
      <c r="J284" s="60" cm="1">
        <f t="array" ref="J284">_xlfn.IFS(I284 = "Catastrophic", 90%, I284 = "Major", 70%, I284 = "Moderate", 50%, I284 = "Minor", 30%, I284 = "Negligible", 5%)</f>
        <v>0.7</v>
      </c>
      <c r="K284" s="128">
        <f>D284*J284</f>
        <v>35000</v>
      </c>
      <c r="L284" s="25" cm="1">
        <f t="array" ref="L284">_xlfn.IFS(H284 = "Almost Certain", 0.8, H284 = "Likely", 0.75, H284 = "Possible", 0.5, H284 = "Unlikely", 0.25, H284= "Rare", 0.1)</f>
        <v>0.5</v>
      </c>
      <c r="M284" s="119">
        <f t="shared" si="118"/>
        <v>17500</v>
      </c>
      <c r="N284" s="119">
        <f t="shared" si="119"/>
        <v>17500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5" spans="1:14" x14ac:dyDescent="0.2">
      <c r="E285" s="3" t="s">
        <v>1385</v>
      </c>
      <c r="F285" s="3" t="s">
        <v>1505</v>
      </c>
      <c r="G285" s="289">
        <v>8</v>
      </c>
      <c r="H285" s="35" t="s">
        <v>1025</v>
      </c>
      <c r="I285" s="35" t="s">
        <v>840</v>
      </c>
      <c r="J285" s="60" cm="1">
        <f t="array" ref="J285">_xlfn.IFS(I285 = "Catastrophic", 90%, I285 = "Major", 70%, I285 = "Moderate", 50%, I285 = "Minor", 30%, I285 = "Negligible", 5%)</f>
        <v>0.7</v>
      </c>
      <c r="K285" s="128">
        <f>D284*J285</f>
        <v>35000</v>
      </c>
      <c r="L285" s="25" cm="1">
        <f t="array" ref="L285">_xlfn.IFS(H285 = "Almost Certain", 0.8, H285 = "Likely", 0.75, H285 = "Possible", 0.5, H285 = "Unlikely", 0.25, H285= "Rare", 0.1)</f>
        <v>0.25</v>
      </c>
      <c r="M285" s="119">
        <f t="shared" si="118"/>
        <v>8750</v>
      </c>
      <c r="N285" s="119">
        <f t="shared" si="119"/>
        <v>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6" spans="1:14" x14ac:dyDescent="0.2">
      <c r="E286" s="3" t="s">
        <v>1386</v>
      </c>
      <c r="F286" s="3" t="s">
        <v>868</v>
      </c>
      <c r="G286" s="289">
        <v>7</v>
      </c>
      <c r="H286" s="35" t="s">
        <v>1025</v>
      </c>
      <c r="I286" s="35" t="s">
        <v>859</v>
      </c>
      <c r="J286" s="60" cm="1">
        <f t="array" ref="J286">_xlfn.IFS(I286 = "Catastrophic", 90%, I286 = "Major", 70%, I286 = "Moderate", 50%, I286 = "Minor", 30%, I286 = "Negligible", 5%)</f>
        <v>0.5</v>
      </c>
      <c r="K286" s="128">
        <f>D284*J286</f>
        <v>25000</v>
      </c>
      <c r="L286" s="25" cm="1">
        <f t="array" ref="L286">_xlfn.IFS(H286 = "Almost Certain", 0.8, H286 = "Likely", 0.75, H286 = "Possible", 0.5, H286 = "Unlikely", 0.25, H286= "Rare", 0.1)</f>
        <v>0.25</v>
      </c>
      <c r="M286" s="119">
        <f t="shared" si="118"/>
        <v>6250</v>
      </c>
      <c r="N286" s="119">
        <f t="shared" si="119"/>
        <v>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7" spans="1:14" x14ac:dyDescent="0.2">
      <c r="B287" s="646" t="s">
        <v>647</v>
      </c>
      <c r="C287" s="646" t="s">
        <v>648</v>
      </c>
      <c r="D287" s="652">
        <v>90000</v>
      </c>
      <c r="E287" s="3" t="s">
        <v>1387</v>
      </c>
      <c r="F287" s="3" t="s">
        <v>1505</v>
      </c>
      <c r="G287" s="289">
        <v>9</v>
      </c>
      <c r="H287" s="35" t="s">
        <v>838</v>
      </c>
      <c r="I287" s="35" t="s">
        <v>840</v>
      </c>
      <c r="J287" s="60" cm="1">
        <f t="array" ref="J287">_xlfn.IFS(I287 = "Catastrophic", 90%, I287 = "Major", 70%, I287 = "Moderate", 50%, I287 = "Minor", 30%, I287 = "Negligible", 5%)</f>
        <v>0.7</v>
      </c>
      <c r="K287" s="128">
        <f>D287*J287</f>
        <v>62999.999999999993</v>
      </c>
      <c r="L287" s="25" cm="1">
        <f t="array" ref="L287">_xlfn.IFS(H287 = "Almost Certain", 0.8, H287 = "Likely", 0.75, H287 = "Possible", 0.5, H287 = "Unlikely", 0.25, H287= "Rare", 0.1)</f>
        <v>0.5</v>
      </c>
      <c r="M287" s="119">
        <f t="shared" si="118"/>
        <v>31499.999999999996</v>
      </c>
      <c r="N287" s="119">
        <f t="shared" si="119"/>
        <v>31499.999999999996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8" spans="1:14" x14ac:dyDescent="0.2">
      <c r="E288" s="3" t="s">
        <v>1389</v>
      </c>
      <c r="F288" s="3" t="s">
        <v>1505</v>
      </c>
      <c r="G288" s="289">
        <v>10</v>
      </c>
      <c r="H288" s="35" t="s">
        <v>1025</v>
      </c>
      <c r="I288" s="35" t="s">
        <v>840</v>
      </c>
      <c r="J288" s="60" cm="1">
        <f t="array" ref="J288">_xlfn.IFS(I288 = "Catastrophic", 90%, I288 = "Major", 70%, I288 = "Moderate", 50%, I288 = "Minor", 30%, I288 = "Negligible", 5%)</f>
        <v>0.7</v>
      </c>
      <c r="K288" s="128">
        <f>D287*J288</f>
        <v>62999.999999999993</v>
      </c>
      <c r="L288" s="25" cm="1">
        <f t="array" ref="L288">_xlfn.IFS(H288 = "Almost Certain", 0.8, H288 = "Likely", 0.75, H288 = "Possible", 0.5, H288 = "Unlikely", 0.25, H288= "Rare", 0.1)</f>
        <v>0.25</v>
      </c>
      <c r="M288" s="119">
        <f t="shared" si="118"/>
        <v>15749.999999999998</v>
      </c>
      <c r="N288" s="119">
        <f t="shared" si="119"/>
        <v>15749.999999999998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9" spans="1:14" x14ac:dyDescent="0.2">
      <c r="E289" s="3" t="s">
        <v>1391</v>
      </c>
      <c r="F289" s="3" t="s">
        <v>868</v>
      </c>
      <c r="G289" s="289">
        <v>7</v>
      </c>
      <c r="H289" s="35" t="s">
        <v>1025</v>
      </c>
      <c r="I289" s="35" t="s">
        <v>859</v>
      </c>
      <c r="J289" s="60" cm="1">
        <f t="array" ref="J289">_xlfn.IFS(I289 = "Catastrophic", 90%, I289 = "Major", 70%, I289 = "Moderate", 50%, I289 = "Minor", 30%, I289 = "Negligible", 5%)</f>
        <v>0.5</v>
      </c>
      <c r="K289" s="128">
        <f>D287*J289</f>
        <v>45000</v>
      </c>
      <c r="L289" s="25" cm="1">
        <f t="array" ref="L289">_xlfn.IFS(H289 = "Almost Certain", 0.8, H289 = "Likely", 0.75, H289 = "Possible", 0.5, H289 = "Unlikely", 0.25, H289= "Rare", 0.1)</f>
        <v>0.25</v>
      </c>
      <c r="M289" s="119">
        <f t="shared" si="118"/>
        <v>11250</v>
      </c>
      <c r="N289" s="119">
        <f t="shared" si="119"/>
        <v>11250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0" spans="1:14" x14ac:dyDescent="0.2">
      <c r="B290" s="646" t="s">
        <v>653</v>
      </c>
      <c r="C290" s="646" t="s">
        <v>654</v>
      </c>
      <c r="D290" s="652">
        <v>120000</v>
      </c>
      <c r="E290" s="3" t="s">
        <v>1392</v>
      </c>
      <c r="F290" s="3" t="s">
        <v>1505</v>
      </c>
      <c r="G290" s="289">
        <v>10</v>
      </c>
      <c r="H290" s="35" t="s">
        <v>1025</v>
      </c>
      <c r="I290" s="35" t="s">
        <v>840</v>
      </c>
      <c r="J290" s="60" cm="1">
        <f t="array" ref="J290">_xlfn.IFS(I290 = "Catastrophic", 90%, I290 = "Major", 70%, I290 = "Moderate", 50%, I290 = "Minor", 30%, I290 = "Negligible", 5%)</f>
        <v>0.7</v>
      </c>
      <c r="K290" s="128">
        <f>D290*J290</f>
        <v>84000</v>
      </c>
      <c r="L290" s="25" cm="1">
        <f t="array" ref="L290">_xlfn.IFS(H290 = "Almost Certain", 0.8, H290 = "Likely", 0.75, H290 = "Possible", 0.5, H290 = "Unlikely", 0.25, H290= "Rare", 0.1)</f>
        <v>0.25</v>
      </c>
      <c r="M290" s="119">
        <f t="shared" si="118"/>
        <v>21000</v>
      </c>
      <c r="N290" s="119">
        <f t="shared" si="119"/>
        <v>21000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1" spans="1:14" x14ac:dyDescent="0.2">
      <c r="E291" s="3" t="s">
        <v>1394</v>
      </c>
      <c r="F291" s="3" t="s">
        <v>1505</v>
      </c>
      <c r="G291" s="289">
        <v>8</v>
      </c>
      <c r="H291" s="35" t="s">
        <v>838</v>
      </c>
      <c r="I291" s="35" t="s">
        <v>840</v>
      </c>
      <c r="J291" s="60" cm="1">
        <f t="array" ref="J291">_xlfn.IFS(I291 = "Catastrophic", 90%, I291 = "Major", 70%, I291 = "Moderate", 50%, I291 = "Minor", 30%, I291 = "Negligible", 5%)</f>
        <v>0.7</v>
      </c>
      <c r="K291" s="128">
        <f>D290*J291</f>
        <v>84000</v>
      </c>
      <c r="L291" s="25" cm="1">
        <f t="array" ref="L291">_xlfn.IFS(H291 = "Almost Certain", 0.8, H291 = "Likely", 0.75, H291 = "Possible", 0.5, H291 = "Unlikely", 0.25, H291= "Rare", 0.1)</f>
        <v>0.5</v>
      </c>
      <c r="M291" s="119">
        <f t="shared" si="118"/>
        <v>42000</v>
      </c>
      <c r="N291" s="119">
        <f t="shared" si="119"/>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2" spans="1:14" x14ac:dyDescent="0.2">
      <c r="E292" s="3" t="s">
        <v>1396</v>
      </c>
      <c r="F292" s="3" t="s">
        <v>868</v>
      </c>
      <c r="G292" s="289">
        <v>7</v>
      </c>
      <c r="H292" s="35" t="s">
        <v>1025</v>
      </c>
      <c r="I292" s="35" t="s">
        <v>859</v>
      </c>
      <c r="J292" s="60" cm="1">
        <f t="array" ref="J292">_xlfn.IFS(I292 = "Catastrophic", 90%, I292 = "Major", 70%, I292 = "Moderate", 50%, I292 = "Minor", 30%, I292 = "Negligible", 5%)</f>
        <v>0.5</v>
      </c>
      <c r="K292" s="128">
        <f>D290*J292</f>
        <v>60000</v>
      </c>
      <c r="L292" s="25" cm="1">
        <f t="array" ref="L292">_xlfn.IFS(H292 = "Almost Certain", 0.8, H292 = "Likely", 0.75, H292 = "Possible", 0.5, H292 = "Unlikely", 0.25, H292= "Rare", 0.1)</f>
        <v>0.25</v>
      </c>
      <c r="M292" s="119">
        <f t="shared" si="118"/>
        <v>15000</v>
      </c>
      <c r="N292" s="119">
        <f t="shared" si="119"/>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3" spans="1:14" x14ac:dyDescent="0.2">
      <c r="B293" s="646" t="s">
        <v>659</v>
      </c>
      <c r="C293" s="646" t="s">
        <v>660</v>
      </c>
      <c r="D293" s="652">
        <v>45000</v>
      </c>
      <c r="E293" s="3" t="s">
        <v>1398</v>
      </c>
      <c r="F293" s="3" t="s">
        <v>868</v>
      </c>
      <c r="G293" s="289">
        <v>5</v>
      </c>
      <c r="H293" s="35" t="s">
        <v>1025</v>
      </c>
      <c r="I293" s="35" t="s">
        <v>840</v>
      </c>
      <c r="J293" s="60" cm="1">
        <f t="array" ref="J293">_xlfn.IFS(I293 = "Catastrophic", 90%, I293 = "Major", 70%, I293 = "Moderate", 50%, I293 = "Minor", 30%, I293 = "Negligible", 5%)</f>
        <v>0.7</v>
      </c>
      <c r="K293" s="128">
        <f>D293*J293</f>
        <v>31499.999999999996</v>
      </c>
      <c r="L293" s="25" cm="1">
        <f t="array" ref="L293">_xlfn.IFS(H293 = "Almost Certain", 0.8, H293 = "Likely", 0.75, H293 = "Possible", 0.5, H293 = "Unlikely", 0.25, H293= "Rare", 0.1)</f>
        <v>0.25</v>
      </c>
      <c r="M293" s="119">
        <f t="shared" si="118"/>
        <v>7874.9999999999991</v>
      </c>
      <c r="N293" s="119">
        <f t="shared" si="119"/>
        <v>7874.9999999999991</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4" spans="1:14" x14ac:dyDescent="0.2">
      <c r="E294" s="3" t="s">
        <v>1373</v>
      </c>
      <c r="F294" s="3" t="s">
        <v>1505</v>
      </c>
      <c r="G294" s="289">
        <v>9</v>
      </c>
      <c r="H294" s="35" t="s">
        <v>1025</v>
      </c>
      <c r="I294" s="35" t="s">
        <v>840</v>
      </c>
      <c r="J294" s="60" cm="1">
        <f t="array" ref="J294">_xlfn.IFS(I294 = "Catastrophic", 90%, I294 = "Major", 70%, I294 = "Moderate", 50%, I294 = "Minor", 30%, I294 = "Negligible", 5%)</f>
        <v>0.7</v>
      </c>
      <c r="K294" s="128">
        <f>D293*J294</f>
        <v>31499.999999999996</v>
      </c>
      <c r="L294" s="25" cm="1">
        <f t="array" ref="L294">_xlfn.IFS(H294 = "Almost Certain", 0.8, H294 = "Likely", 0.75, H294 = "Possible", 0.5, H294 = "Unlikely", 0.25, H294= "Rare", 0.1)</f>
        <v>0.25</v>
      </c>
      <c r="M294" s="119">
        <f t="shared" si="118"/>
        <v>7874.9999999999991</v>
      </c>
      <c r="N294" s="119">
        <f t="shared" si="119"/>
        <v>7874.9999999999991</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5" spans="1:14" x14ac:dyDescent="0.2">
      <c r="E295" s="3" t="s">
        <v>1401</v>
      </c>
      <c r="F295" s="3" t="s">
        <v>868</v>
      </c>
      <c r="G295" s="289">
        <v>6</v>
      </c>
      <c r="H295" s="35" t="s">
        <v>1025</v>
      </c>
      <c r="I295" s="35" t="s">
        <v>859</v>
      </c>
      <c r="J295" s="60" cm="1">
        <f t="array" ref="J295">_xlfn.IFS(I295 = "Catastrophic", 90%, I295 = "Major", 70%, I295 = "Moderate", 50%, I295 = "Minor", 30%, I295 = "Negligible", 5%)</f>
        <v>0.5</v>
      </c>
      <c r="K295" s="128">
        <f>D293*J295</f>
        <v>22500</v>
      </c>
      <c r="L295" s="25" cm="1">
        <f t="array" ref="L295">_xlfn.IFS(H295 = "Almost Certain", 0.8, H295 = "Likely", 0.75, H295 = "Possible", 0.5, H295 = "Unlikely", 0.25, H295= "Rare", 0.1)</f>
        <v>0.25</v>
      </c>
      <c r="M295" s="119">
        <f t="shared" si="118"/>
        <v>5625</v>
      </c>
      <c r="N295" s="119">
        <f t="shared" si="119"/>
        <v>5625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6" spans="1:14" x14ac:dyDescent="0.2">
      <c r="B296" s="646" t="s">
        <v>667</v>
      </c>
      <c r="C296" s="646" t="s">
        <v>376</v>
      </c>
      <c r="D296" s="652">
        <v>60000</v>
      </c>
      <c r="E296" s="3" t="s">
        <v>1514</v>
      </c>
      <c r="F296" s="3" t="s">
        <v>1505</v>
      </c>
      <c r="G296" s="289">
        <v>10</v>
      </c>
      <c r="H296" s="35" t="s">
        <v>838</v>
      </c>
      <c r="I296" s="35" t="s">
        <v>840</v>
      </c>
      <c r="J296" s="60" cm="1">
        <f t="array" ref="J296">_xlfn.IFS(I296 = "Catastrophic", 90%, I296 = "Major", 70%, I296 = "Moderate", 50%, I296 = "Minor", 30%, I296 = "Negligible", 5%)</f>
        <v>0.7</v>
      </c>
      <c r="K296" s="128">
        <f>D296*J296</f>
        <v>42000</v>
      </c>
      <c r="L296" s="25" cm="1">
        <f t="array" ref="L296">_xlfn.IFS(H296 = "Almost Certain", 0.8, H296 = "Likely", 0.75, H296 = "Possible", 0.5, H296 = "Unlikely", 0.25, H296= "Rare", 0.1)</f>
        <v>0.5</v>
      </c>
      <c r="M296" s="119">
        <f t="shared" si="118"/>
        <v>21000</v>
      </c>
      <c r="N296" s="119">
        <f t="shared" si="119"/>
        <v>21000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7" spans="1:14" x14ac:dyDescent="0.2">
      <c r="E297" s="3" t="s">
        <v>1515</v>
      </c>
      <c r="F297" s="3" t="s">
        <v>868</v>
      </c>
      <c r="G297" s="289">
        <v>8</v>
      </c>
      <c r="H297" s="35" t="s">
        <v>838</v>
      </c>
      <c r="I297" s="35" t="s">
        <v>840</v>
      </c>
      <c r="J297" s="60" cm="1">
        <f t="array" ref="J297">_xlfn.IFS(I297 = "Catastrophic", 90%, I297 = "Major", 70%, I297 = "Moderate", 50%, I297 = "Minor", 30%, I297 = "Negligible", 5%)</f>
        <v>0.7</v>
      </c>
      <c r="K297" s="128">
        <f>D296*J297</f>
        <v>42000</v>
      </c>
      <c r="L297" s="25" cm="1">
        <f t="array" ref="L297">_xlfn.IFS(H297 = "Almost Certain", 0.8, H297 = "Likely", 0.75, H297 = "Possible", 0.5, H297 = "Unlikely", 0.25, H297= "Rare", 0.1)</f>
        <v>0.5</v>
      </c>
      <c r="M297" s="119">
        <f t="shared" si="118"/>
        <v>21000</v>
      </c>
      <c r="N297" s="119">
        <f t="shared" si="119"/>
        <v>21000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8" spans="1:14" x14ac:dyDescent="0.2">
      <c r="E298" s="3" t="s">
        <v>1516</v>
      </c>
      <c r="F298" s="3" t="s">
        <v>868</v>
      </c>
      <c r="G298" s="289">
        <v>7</v>
      </c>
      <c r="H298" s="35" t="s">
        <v>1025</v>
      </c>
      <c r="I298" s="35" t="s">
        <v>859</v>
      </c>
      <c r="J298" s="60" cm="1">
        <f t="array" ref="J298">_xlfn.IFS(I298 = "Catastrophic", 90%, I298 = "Major", 70%, I298 = "Moderate", 50%, I298 = "Minor", 30%, I298 = "Negligible", 5%)</f>
        <v>0.5</v>
      </c>
      <c r="K298" s="128">
        <f>D296*J298</f>
        <v>30000</v>
      </c>
      <c r="L298" s="25" cm="1">
        <f t="array" ref="L298">_xlfn.IFS(H298 = "Almost Certain", 0.8, H298 = "Likely", 0.75, H298 = "Possible", 0.5, H298 = "Unlikely", 0.25, H298= "Rare", 0.1)</f>
        <v>0.25</v>
      </c>
      <c r="M298" s="119">
        <f t="shared" si="118"/>
        <v>7500</v>
      </c>
      <c r="N298" s="119">
        <f t="shared" si="119"/>
        <v>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9" spans="1:14" x14ac:dyDescent="0.2">
      <c r="B299" s="646" t="s">
        <v>672</v>
      </c>
      <c r="C299" s="646" t="s">
        <v>673</v>
      </c>
      <c r="D299" s="652">
        <v>70000</v>
      </c>
      <c r="E299" s="3" t="s">
        <v>1403</v>
      </c>
      <c r="F299" s="3" t="s">
        <v>1505</v>
      </c>
      <c r="G299" s="290">
        <v>9</v>
      </c>
      <c r="H299" s="35" t="s">
        <v>1025</v>
      </c>
      <c r="I299" s="35" t="s">
        <v>840</v>
      </c>
      <c r="J299" s="60" cm="1">
        <f t="array" ref="J299">_xlfn.IFS(I299 = "Catastrophic", 90%, I299 = "Major", 70%, I299 = "Moderate", 50%, I299 = "Minor", 30%, I299 = "Negligible", 5%)</f>
        <v>0.7</v>
      </c>
      <c r="K299" s="128">
        <f>D299*J299</f>
        <v>49000</v>
      </c>
      <c r="L299" s="25" cm="1">
        <f t="array" ref="L299">_xlfn.IFS(H299 = "Almost Certain", 0.8, H299 = "Likely", 0.75, H299 = "Possible", 0.5, H299 = "Unlikely", 0.25, H299= "Rare", 0.1)</f>
        <v>0.25</v>
      </c>
      <c r="M299" s="119">
        <f t="shared" si="118"/>
        <v>12250</v>
      </c>
      <c r="N299" s="119">
        <f t="shared" si="119"/>
        <v>12250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0" spans="1:14" x14ac:dyDescent="0.2">
      <c r="E300" s="3" t="s">
        <v>1402</v>
      </c>
      <c r="F300" s="3" t="s">
        <v>868</v>
      </c>
      <c r="G300" s="290">
        <v>7</v>
      </c>
      <c r="H300" s="35" t="s">
        <v>1025</v>
      </c>
      <c r="I300" s="35" t="s">
        <v>840</v>
      </c>
      <c r="J300" s="60" cm="1">
        <f t="array" ref="J300">_xlfn.IFS(I300 = "Catastrophic", 90%, I300 = "Major", 70%, I300 = "Moderate", 50%, I300 = "Minor", 30%, I300 = "Negligible", 5%)</f>
        <v>0.7</v>
      </c>
      <c r="K300" s="128">
        <f>D299*J300</f>
        <v>49000</v>
      </c>
      <c r="L300" s="25" cm="1">
        <f t="array" ref="L300">_xlfn.IFS(H300 = "Almost Certain", 0.8, H300 = "Likely", 0.75, H300 = "Possible", 0.5, H300 = "Unlikely", 0.25, H300= "Rare", 0.1)</f>
        <v>0.25</v>
      </c>
      <c r="M300" s="119">
        <f t="shared" si="118"/>
        <v>12250</v>
      </c>
      <c r="N300" s="119">
        <f t="shared" si="119"/>
        <v>12250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1" spans="1:14" x14ac:dyDescent="0.2">
      <c r="E301" s="3" t="s">
        <v>1404</v>
      </c>
      <c r="F301" s="3" t="s">
        <v>868</v>
      </c>
      <c r="G301" s="290">
        <v>6</v>
      </c>
      <c r="H301" s="35" t="s">
        <v>1025</v>
      </c>
      <c r="I301" s="35" t="s">
        <v>859</v>
      </c>
      <c r="J301" s="60" cm="1">
        <f t="array" ref="J301">_xlfn.IFS(I301 = "Catastrophic", 90%, I301 = "Major", 70%, I301 = "Moderate", 50%, I301 = "Minor", 30%, I301 = "Negligible", 5%)</f>
        <v>0.5</v>
      </c>
      <c r="K301" s="128">
        <f>D299*J301</f>
        <v>35000</v>
      </c>
      <c r="L301" s="25" cm="1">
        <f t="array" ref="L301">_xlfn.IFS(H301 = "Almost Certain", 0.8, H301 = "Likely", 0.75, H301 = "Possible", 0.5, H301 = "Unlikely", 0.25, H301= "Rare", 0.1)</f>
        <v>0.25</v>
      </c>
      <c r="M301" s="119">
        <f t="shared" si="118"/>
        <v>8750</v>
      </c>
      <c r="N301" s="119">
        <f t="shared" si="119"/>
        <v>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2" spans="1:14" x14ac:dyDescent="0.2">
      <c r="B302" s="646" t="s">
        <v>678</v>
      </c>
      <c r="C302" s="646" t="s">
        <v>384</v>
      </c>
      <c r="D302" s="652">
        <v>50000</v>
      </c>
      <c r="E302" s="3" t="s">
        <v>1406</v>
      </c>
      <c r="F302" s="3" t="s">
        <v>868</v>
      </c>
      <c r="G302" s="290">
        <v>6</v>
      </c>
      <c r="H302" s="35" t="s">
        <v>838</v>
      </c>
      <c r="I302" s="35" t="s">
        <v>840</v>
      </c>
      <c r="J302" s="60" cm="1">
        <f t="array" ref="J302">_xlfn.IFS(I302 = "Catastrophic", 90%, I302 = "Major", 70%, I302 = "Moderate", 50%, I302 = "Minor", 30%, I302 = "Negligible", 5%)</f>
        <v>0.7</v>
      </c>
      <c r="K302" s="128">
        <f>D302*J302</f>
        <v>35000</v>
      </c>
      <c r="L302" s="25" cm="1">
        <f t="array" ref="L302">_xlfn.IFS(H302 = "Almost Certain", 0.8, H302 = "Likely", 0.75, H302 = "Possible", 0.5, H302 = "Unlikely", 0.25, H302= "Rare", 0.1)</f>
        <v>0.5</v>
      </c>
      <c r="M302" s="119">
        <f t="shared" si="118"/>
        <v>17500</v>
      </c>
      <c r="N302" s="119">
        <f t="shared" si="119"/>
        <v>17500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3" spans="1:14" x14ac:dyDescent="0.2">
      <c r="E303" s="3" t="s">
        <v>1373</v>
      </c>
      <c r="F303" s="3" t="s">
        <v>1505</v>
      </c>
      <c r="G303" s="290">
        <v>9</v>
      </c>
      <c r="H303" s="35" t="s">
        <v>838</v>
      </c>
      <c r="I303" s="35" t="s">
        <v>840</v>
      </c>
      <c r="J303" s="60" cm="1">
        <f t="array" ref="J303">_xlfn.IFS(I303 = "Catastrophic", 90%, I303 = "Major", 70%, I303 = "Moderate", 50%, I303 = "Minor", 30%, I303 = "Negligible", 5%)</f>
        <v>0.7</v>
      </c>
      <c r="K303" s="128">
        <f>D302*J303</f>
        <v>35000</v>
      </c>
      <c r="L303" s="25" cm="1">
        <f t="array" ref="L303">_xlfn.IFS(H303 = "Almost Certain", 0.8, H303 = "Likely", 0.75, H303 = "Possible", 0.5, H303 = "Unlikely", 0.25, H303= "Rare", 0.1)</f>
        <v>0.5</v>
      </c>
      <c r="M303" s="119">
        <f t="shared" si="118"/>
        <v>17500</v>
      </c>
      <c r="N303" s="119">
        <f t="shared" si="119"/>
        <v>17500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4" spans="1:14" x14ac:dyDescent="0.2">
      <c r="E304" s="3" t="s">
        <v>1409</v>
      </c>
      <c r="F304" s="3" t="s">
        <v>868</v>
      </c>
      <c r="G304" s="290">
        <v>6</v>
      </c>
      <c r="H304" s="35" t="s">
        <v>1025</v>
      </c>
      <c r="I304" s="35" t="s">
        <v>859</v>
      </c>
      <c r="J304" s="60" cm="1">
        <f t="array" ref="J304">_xlfn.IFS(I304 = "Catastrophic", 90%, I304 = "Major", 70%, I304 = "Moderate", 50%, I304 = "Minor", 30%, I304 = "Negligible", 5%)</f>
        <v>0.5</v>
      </c>
      <c r="K304" s="128">
        <f>D302*J304</f>
        <v>25000</v>
      </c>
      <c r="L304" s="25" cm="1">
        <f t="array" ref="L304">_xlfn.IFS(H304 = "Almost Certain", 0.8, H304 = "Likely", 0.75, H304 = "Possible", 0.5, H304 = "Unlikely", 0.25, H304= "Rare", 0.1)</f>
        <v>0.25</v>
      </c>
      <c r="M304" s="119">
        <f t="shared" si="118"/>
        <v>6250</v>
      </c>
      <c r="N304" s="119">
        <f t="shared" si="119"/>
        <v>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5" spans="1:14" x14ac:dyDescent="0.2">
      <c r="B305" s="646" t="s">
        <v>685</v>
      </c>
      <c r="C305" s="646" t="s">
        <v>686</v>
      </c>
      <c r="D305" s="652">
        <v>200000</v>
      </c>
      <c r="E305" s="3" t="s">
        <v>1384</v>
      </c>
      <c r="F305" s="3" t="s">
        <v>1505</v>
      </c>
      <c r="G305" s="290">
        <v>10</v>
      </c>
      <c r="H305" s="35" t="s">
        <v>1025</v>
      </c>
      <c r="I305" s="35" t="s">
        <v>840</v>
      </c>
      <c r="J305" s="60" cm="1">
        <f t="array" ref="J305">_xlfn.IFS(I305 = "Catastrophic", 90%, I305 = "Major", 70%, I305 = "Moderate", 50%, I305 = "Minor", 30%, I305 = "Negligible", 5%)</f>
        <v>0.7</v>
      </c>
      <c r="K305" s="128">
        <f>D305*J305</f>
        <v>140000</v>
      </c>
      <c r="L305" s="25" cm="1">
        <f t="array" ref="L305">_xlfn.IFS(H305 = "Almost Certain", 0.8, H305 = "Likely", 0.75, H305 = "Possible", 0.5, H305 = "Unlikely", 0.25, H305= "Rare", 0.1)</f>
        <v>0.25</v>
      </c>
      <c r="M305" s="119">
        <f t="shared" si="118"/>
        <v>35000</v>
      </c>
      <c r="N305" s="119">
        <f t="shared" si="119"/>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6" spans="1:14" ht="16" x14ac:dyDescent="0.2">
      <c r="E306" s="2" t="s">
        <v>1412</v>
      </c>
      <c r="F306" s="3" t="s">
        <v>1505</v>
      </c>
      <c r="G306" s="290">
        <v>10</v>
      </c>
      <c r="H306" s="35" t="s">
        <v>1025</v>
      </c>
      <c r="I306" s="35" t="s">
        <v>840</v>
      </c>
      <c r="J306" s="60" cm="1">
        <f t="array" ref="J306">_xlfn.IFS(I306 = "Catastrophic", 90%, I306 = "Major", 70%, I306 = "Moderate", 50%, I306 = "Minor", 30%, I306 = "Negligible", 5%)</f>
        <v>0.7</v>
      </c>
      <c r="K306" s="128">
        <f>D305*J306</f>
        <v>140000</v>
      </c>
      <c r="L306" s="25" cm="1">
        <f t="array" ref="L306">_xlfn.IFS(H306 = "Almost Certain", 0.8, H306 = "Likely", 0.75, H306 = "Possible", 0.5, H306 = "Unlikely", 0.25, H306= "Rare", 0.1)</f>
        <v>0.25</v>
      </c>
      <c r="M306" s="119">
        <f t="shared" si="118"/>
        <v>35000</v>
      </c>
      <c r="N306" s="119">
        <f t="shared" si="119"/>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7" spans="1:14" ht="16" x14ac:dyDescent="0.2">
      <c r="E307" s="2" t="s">
        <v>1414</v>
      </c>
      <c r="F307" s="3" t="s">
        <v>868</v>
      </c>
      <c r="G307" s="290">
        <v>9</v>
      </c>
      <c r="H307" s="35" t="s">
        <v>1025</v>
      </c>
      <c r="I307" s="35" t="s">
        <v>859</v>
      </c>
      <c r="J307" s="60" cm="1">
        <f t="array" ref="J307">_xlfn.IFS(I307 = "Catastrophic", 90%, I307 = "Major", 70%, I307 = "Moderate", 50%, I307 = "Minor", 30%, I307 = "Negligible", 5%)</f>
        <v>0.5</v>
      </c>
      <c r="K307" s="128">
        <f>D305*J307</f>
        <v>100000</v>
      </c>
      <c r="L307" s="25" cm="1">
        <f t="array" ref="L307">_xlfn.IFS(H307 = "Almost Certain", 0.8, H307 = "Likely", 0.75, H307 = "Possible", 0.5, H307 = "Unlikely", 0.25, H307= "Rare", 0.1)</f>
        <v>0.25</v>
      </c>
      <c r="M307" s="119">
        <f t="shared" si="118"/>
        <v>25000</v>
      </c>
      <c r="N307" s="119">
        <f t="shared" si="119"/>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8" spans="1:14" ht="16" x14ac:dyDescent="0.2">
      <c r="B308" s="646" t="s">
        <v>691</v>
      </c>
      <c r="C308" s="646" t="s">
        <v>692</v>
      </c>
      <c r="D308" s="652">
        <v>150000</v>
      </c>
      <c r="E308" s="2" t="s">
        <v>1417</v>
      </c>
      <c r="F308" s="3" t="s">
        <v>1505</v>
      </c>
      <c r="G308" s="290">
        <v>9</v>
      </c>
      <c r="H308" s="35" t="s">
        <v>1025</v>
      </c>
      <c r="I308" s="35" t="s">
        <v>840</v>
      </c>
      <c r="J308" s="60" cm="1">
        <f t="array" ref="J308">_xlfn.IFS(I308 = "Catastrophic", 90%, I308 = "Major", 70%, I308 = "Moderate", 50%, I308 = "Minor", 30%, I308 = "Negligible", 5%)</f>
        <v>0.7</v>
      </c>
      <c r="K308" s="128">
        <f>D308*J308</f>
        <v>105000</v>
      </c>
      <c r="L308" s="25" cm="1">
        <f t="array" ref="L308">_xlfn.IFS(H308 = "Almost Certain", 0.8, H308 = "Likely", 0.75, H308 = "Possible", 0.5, H308 = "Unlikely", 0.25, H308= "Rare", 0.1)</f>
        <v>0.25</v>
      </c>
      <c r="M308" s="119">
        <f t="shared" si="118"/>
        <v>26250</v>
      </c>
      <c r="N308" s="119">
        <f t="shared" si="119"/>
        <v>26250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9" spans="1:14" ht="16" x14ac:dyDescent="0.2">
      <c r="E309" s="2" t="s">
        <v>1416</v>
      </c>
      <c r="F309" s="3" t="s">
        <v>868</v>
      </c>
      <c r="G309" s="290">
        <v>8</v>
      </c>
      <c r="H309" s="35" t="s">
        <v>838</v>
      </c>
      <c r="I309" s="35" t="s">
        <v>840</v>
      </c>
      <c r="J309" s="60" cm="1">
        <f t="array" ref="J309">_xlfn.IFS(I309 = "Catastrophic", 90%, I309 = "Major", 70%, I309 = "Moderate", 50%, I309 = "Minor", 30%, I309 = "Negligible", 5%)</f>
        <v>0.7</v>
      </c>
      <c r="K309" s="128">
        <f>D308*J309</f>
        <v>105000</v>
      </c>
      <c r="L309" s="25" cm="1">
        <f t="array" ref="L309">_xlfn.IFS(H309 = "Almost Certain", 0.8, H309 = "Likely", 0.75, H309 = "Possible", 0.5, H309 = "Unlikely", 0.25, H309= "Rare", 0.1)</f>
        <v>0.5</v>
      </c>
      <c r="M309" s="119">
        <f t="shared" si="118"/>
        <v>52500</v>
      </c>
      <c r="N309" s="119">
        <f t="shared" si="119"/>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0" spans="1:14" ht="16" x14ac:dyDescent="0.2">
      <c r="E310" s="2" t="s">
        <v>1418</v>
      </c>
      <c r="F310" s="3" t="s">
        <v>868</v>
      </c>
      <c r="G310" s="290">
        <v>7</v>
      </c>
      <c r="H310" s="35" t="s">
        <v>1025</v>
      </c>
      <c r="I310" s="35" t="s">
        <v>859</v>
      </c>
      <c r="J310" s="60" cm="1">
        <f t="array" ref="J310">_xlfn.IFS(I310 = "Catastrophic", 90%, I310 = "Major", 70%, I310 = "Moderate", 50%, I310 = "Minor", 30%, I310 = "Negligible", 5%)</f>
        <v>0.5</v>
      </c>
      <c r="K310" s="128">
        <f>D308*J310</f>
        <v>75000</v>
      </c>
      <c r="L310" s="25" cm="1">
        <f t="array" ref="L310">_xlfn.IFS(H310 = "Almost Certain", 0.8, H310 = "Likely", 0.75, H310 = "Possible", 0.5, H310 = "Unlikely", 0.25, H310= "Rare", 0.1)</f>
        <v>0.25</v>
      </c>
      <c r="M310" s="119">
        <f t="shared" si="118"/>
        <v>18750</v>
      </c>
      <c r="N310" s="119">
        <f t="shared" si="119"/>
        <v>18750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1" spans="1:14" ht="16" x14ac:dyDescent="0.2">
      <c r="B311" s="646" t="s">
        <v>697</v>
      </c>
      <c r="C311" s="646" t="s">
        <v>698</v>
      </c>
      <c r="D311" s="652">
        <v>160000</v>
      </c>
      <c r="E311" s="2" t="s">
        <v>1420</v>
      </c>
      <c r="F311" s="3" t="s">
        <v>1505</v>
      </c>
      <c r="G311" s="290">
        <v>8</v>
      </c>
      <c r="H311" s="35" t="s">
        <v>838</v>
      </c>
      <c r="I311" s="35" t="s">
        <v>840</v>
      </c>
      <c r="J311" s="60" cm="1">
        <f t="array" ref="J311">_xlfn.IFS(I311 = "Catastrophic", 90%, I311 = "Major", 70%, I311 = "Moderate", 50%, I311 = "Minor", 30%, I311 = "Negligible", 5%)</f>
        <v>0.7</v>
      </c>
      <c r="K311" s="128">
        <f>D311*J311</f>
        <v>112000</v>
      </c>
      <c r="L311" s="25" cm="1">
        <f t="array" ref="L311">_xlfn.IFS(H311 = "Almost Certain", 0.8, H311 = "Likely", 0.75, H311 = "Possible", 0.5, H311 = "Unlikely", 0.25, H311= "Rare", 0.1)</f>
        <v>0.5</v>
      </c>
      <c r="M311" s="119">
        <f t="shared" si="118"/>
        <v>56000</v>
      </c>
      <c r="N311" s="119">
        <f t="shared" si="119"/>
        <v>56000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2" spans="1:14" ht="16" x14ac:dyDescent="0.2">
      <c r="E312" s="2" t="s">
        <v>1384</v>
      </c>
      <c r="F312" s="3" t="s">
        <v>868</v>
      </c>
      <c r="G312" s="290">
        <v>7</v>
      </c>
      <c r="H312" s="35" t="s">
        <v>838</v>
      </c>
      <c r="I312" s="35" t="s">
        <v>840</v>
      </c>
      <c r="J312" s="60" cm="1">
        <f t="array" ref="J312">_xlfn.IFS(I312 = "Catastrophic", 90%, I312 = "Major", 70%, I312 = "Moderate", 50%, I312 = "Minor", 30%, I312 = "Negligible", 5%)</f>
        <v>0.7</v>
      </c>
      <c r="K312" s="128">
        <f>D311*J312</f>
        <v>112000</v>
      </c>
      <c r="L312" s="25" cm="1">
        <f t="array" ref="L312">_xlfn.IFS(H312 = "Almost Certain", 0.8, H312 = "Likely", 0.75, H312 = "Possible", 0.5, H312 = "Unlikely", 0.25, H312= "Rare", 0.1)</f>
        <v>0.5</v>
      </c>
      <c r="M312" s="119">
        <f t="shared" si="118"/>
        <v>56000</v>
      </c>
      <c r="N312" s="119">
        <f t="shared" si="119"/>
        <v>56000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3" spans="1:14" ht="16" x14ac:dyDescent="0.2">
      <c r="E313" s="2" t="s">
        <v>1421</v>
      </c>
      <c r="F313" s="3" t="s">
        <v>868</v>
      </c>
      <c r="G313" s="290">
        <v>6</v>
      </c>
      <c r="H313" s="35" t="s">
        <v>1025</v>
      </c>
      <c r="I313" s="35" t="s">
        <v>859</v>
      </c>
      <c r="J313" s="60" cm="1">
        <f t="array" ref="J313">_xlfn.IFS(I313 = "Catastrophic", 90%, I313 = "Major", 70%, I313 = "Moderate", 50%, I313 = "Minor", 30%, I313 = "Negligible", 5%)</f>
        <v>0.5</v>
      </c>
      <c r="K313" s="128">
        <f>D311*J313</f>
        <v>80000</v>
      </c>
      <c r="L313" s="25" cm="1">
        <f t="array" ref="L313">_xlfn.IFS(H313 = "Almost Certain", 0.8, H313 = "Likely", 0.75, H313 = "Possible", 0.5, H313 = "Unlikely", 0.25, H313= "Rare", 0.1)</f>
        <v>0.25</v>
      </c>
      <c r="M313" s="119">
        <f t="shared" si="118"/>
        <v>20000</v>
      </c>
      <c r="N313" s="119">
        <f t="shared" si="119"/>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5" spans="1:14" s="17" customFormat="1" ht="14.5" customHeight="1" x14ac:dyDescent="0.2">
      <c r="A315" s="639" t="s">
        <v>708</v>
      </c>
      <c r="B315" s="638" t="s">
        <v>711</v>
      </c>
      <c r="C315" s="638" t="s">
        <v>712</v>
      </c>
      <c r="D315" s="271">
        <v>150000</v>
      </c>
      <c r="E315" s="3" t="s">
        <v>904</v>
      </c>
      <c r="F315" s="3" t="s">
        <v>1505</v>
      </c>
      <c r="G315" s="290">
        <v>15</v>
      </c>
      <c r="H315" s="3" t="s">
        <v>858</v>
      </c>
      <c r="I315" s="3" t="s">
        <v>840</v>
      </c>
      <c r="J315" s="273" cm="1">
        <f t="array" ref="J315">_xlfn.IFS(I315 = "Catastrophic", 90%, I315 = "Major", 70%, I315 = "Moderate", 50%, I315 = "Minor", 30%, I315 = "Negligible", 5%)</f>
        <v>0.7</v>
      </c>
      <c r="K315" s="271">
        <f>D315*J315</f>
        <v>105000</v>
      </c>
      <c r="L315" s="25" cm="1">
        <f t="array" ref="L315">_xlfn.IFS(H315 = "Almost Certain", 0.8, H315 = "Likely", 0.75, H315 = "Possible", 0.5, H315 = "Unlikely", 0.25, H315= "Rare", 0.1)</f>
        <v>0.8</v>
      </c>
      <c r="M315" s="271">
        <f>K315*L315</f>
        <v>84000</v>
      </c>
      <c r="N315" s="271">
        <f>M315</f>
        <v>84000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6" spans="1:14" ht="14.5" customHeight="1" x14ac:dyDescent="0.2">
      <c r="E316" s="3" t="s">
        <v>1434</v>
      </c>
      <c r="F316" s="3" t="s">
        <v>859</v>
      </c>
      <c r="G316" s="290">
        <v>20</v>
      </c>
      <c r="H316" s="3" t="s">
        <v>850</v>
      </c>
      <c r="I316" s="3" t="s">
        <v>840</v>
      </c>
      <c r="J316" s="273" cm="1">
        <f t="array" ref="J316">_xlfn.IFS(I316 = "Catastrophic", 90%, I316 = "Major", 70%, I316 = "Moderate", 50%, I316 = "Minor", 30%, I316 = "Negligible", 5%)</f>
        <v>0.7</v>
      </c>
      <c r="K316" s="271">
        <f>D315*J316</f>
        <v>105000</v>
      </c>
      <c r="L316" s="25" cm="1">
        <f t="array" ref="L316">_xlfn.IFS(H316 = "Almost Certain", 0.8, H316 = "Likely", 0.75, H316 = "Possible", 0.5, H316 = "Unlikely", 0.25, H316= "Rare", 0.1)</f>
        <v>0.75</v>
      </c>
      <c r="M316" s="271">
        <f t="shared" ref="M316:M359" si="120">K316*L316</f>
        <v>78750</v>
      </c>
      <c r="N316" s="271">
        <f>M316</f>
        <v>78750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7" spans="1:14" ht="14.5" customHeight="1" x14ac:dyDescent="0.2">
      <c r="E317" s="3" t="s">
        <v>851</v>
      </c>
      <c r="F317" s="3" t="s">
        <v>859</v>
      </c>
      <c r="G317" s="290">
        <v>25</v>
      </c>
      <c r="H317" s="3" t="s">
        <v>838</v>
      </c>
      <c r="I317" s="3" t="s">
        <v>840</v>
      </c>
      <c r="J317" s="273" cm="1">
        <f t="array" ref="J317">_xlfn.IFS(I317 = "Catastrophic", 90%, I317 = "Major", 70%, I317 = "Moderate", 50%, I317 = "Minor", 30%, I317 = "Negligible", 5%)</f>
        <v>0.7</v>
      </c>
      <c r="K317" s="271">
        <f>D315*J317</f>
        <v>105000</v>
      </c>
      <c r="L317" s="25" cm="1">
        <f t="array" ref="L317">_xlfn.IFS(H317 = "Almost Certain", 0.8, H317 = "Likely", 0.75, H317 = "Possible", 0.5, H317 = "Unlikely", 0.25, H317= "Rare", 0.1)</f>
        <v>0.5</v>
      </c>
      <c r="M317" s="271">
        <f t="shared" si="120"/>
        <v>52500</v>
      </c>
      <c r="N317" s="271">
        <f t="shared" ref="N317:N359" si="121">M317</f>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8" spans="1:14" ht="14.5" customHeight="1" x14ac:dyDescent="0.2">
      <c r="B318" s="638" t="s">
        <v>718</v>
      </c>
      <c r="C318" s="638" t="s">
        <v>1438</v>
      </c>
      <c r="D318" s="271">
        <v>200000</v>
      </c>
      <c r="E318" s="3" t="s">
        <v>894</v>
      </c>
      <c r="F318" s="3" t="s">
        <v>1505</v>
      </c>
      <c r="G318" s="290">
        <v>30</v>
      </c>
      <c r="H318" s="3" t="s">
        <v>858</v>
      </c>
      <c r="I318" s="3" t="s">
        <v>839</v>
      </c>
      <c r="J318" s="273" cm="1">
        <f t="array" ref="J318">_xlfn.IFS(I318 = "Catastrophic", 90%, I318 = "Major", 70%, I318 = "Moderate", 50%, I318 = "Minor", 30%, I318 = "Negligible", 5%)</f>
        <v>0.9</v>
      </c>
      <c r="K318" s="271">
        <f t="shared" ref="K318" si="122">D318*J318</f>
        <v>180000</v>
      </c>
      <c r="L318" s="25" cm="1">
        <f t="array" ref="L318">_xlfn.IFS(H318 = "Almost Certain", 0.8, H318 = "Likely", 0.75, H318 = "Possible", 0.5, H318 = "Unlikely", 0.25, H318= "Rare", 0.1)</f>
        <v>0.8</v>
      </c>
      <c r="M318" s="271">
        <f t="shared" si="120"/>
        <v>144000</v>
      </c>
      <c r="N318" s="271">
        <f t="shared" si="121"/>
        <v>144000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9" spans="1:14" ht="14.5" customHeight="1" x14ac:dyDescent="0.2">
      <c r="E319" s="3" t="s">
        <v>904</v>
      </c>
      <c r="F319" s="3" t="s">
        <v>859</v>
      </c>
      <c r="G319" s="290">
        <v>15</v>
      </c>
      <c r="H319" s="3" t="s">
        <v>850</v>
      </c>
      <c r="I319" s="3" t="s">
        <v>840</v>
      </c>
      <c r="J319" s="273" cm="1">
        <f t="array" ref="J319">_xlfn.IFS(I319 = "Catastrophic", 90%, I319 = "Major", 70%, I319 = "Moderate", 50%, I319 = "Minor", 30%, I319 = "Negligible", 5%)</f>
        <v>0.7</v>
      </c>
      <c r="K319" s="271">
        <f t="shared" ref="K319" si="123">D318*J319</f>
        <v>140000</v>
      </c>
      <c r="L319" s="25" cm="1">
        <f t="array" ref="L319">_xlfn.IFS(H319 = "Almost Certain", 0.8, H319 = "Likely", 0.75, H319 = "Possible", 0.5, H319 = "Unlikely", 0.25, H319= "Rare", 0.1)</f>
        <v>0.75</v>
      </c>
      <c r="M319" s="271">
        <f t="shared" si="120"/>
        <v>105000</v>
      </c>
      <c r="N319" s="271">
        <f t="shared" si="121"/>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0" spans="1:14" ht="14.5" customHeight="1" x14ac:dyDescent="0.2">
      <c r="E320" s="3" t="s">
        <v>884</v>
      </c>
      <c r="F320" s="3" t="s">
        <v>1505</v>
      </c>
      <c r="G320" s="290">
        <v>25</v>
      </c>
      <c r="H320" s="3" t="s">
        <v>850</v>
      </c>
      <c r="I320" s="3" t="s">
        <v>840</v>
      </c>
      <c r="J320" s="273" cm="1">
        <f t="array" ref="J320">_xlfn.IFS(I320 = "Catastrophic", 90%, I320 = "Major", 70%, I320 = "Moderate", 50%, I320 = "Minor", 30%, I320 = "Negligible", 5%)</f>
        <v>0.7</v>
      </c>
      <c r="K320" s="271">
        <f t="shared" ref="K320" si="124">D318*J320</f>
        <v>140000</v>
      </c>
      <c r="L320" s="25" cm="1">
        <f t="array" ref="L320">_xlfn.IFS(H320 = "Almost Certain", 0.8, H320 = "Likely", 0.75, H320 = "Possible", 0.5, H320 = "Unlikely", 0.25, H320= "Rare", 0.1)</f>
        <v>0.75</v>
      </c>
      <c r="M320" s="271">
        <f t="shared" si="120"/>
        <v>105000</v>
      </c>
      <c r="N320" s="271">
        <f t="shared" si="121"/>
        <v>105000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1" spans="1:14" ht="14.5" customHeight="1" x14ac:dyDescent="0.2">
      <c r="B321" s="638" t="s">
        <v>725</v>
      </c>
      <c r="C321" s="638" t="s">
        <v>726</v>
      </c>
      <c r="D321" s="271">
        <v>180000</v>
      </c>
      <c r="E321" s="3" t="s">
        <v>1434</v>
      </c>
      <c r="F321" s="3" t="s">
        <v>1505</v>
      </c>
      <c r="G321" s="290">
        <v>15</v>
      </c>
      <c r="H321" s="3" t="s">
        <v>850</v>
      </c>
      <c r="I321" s="3" t="s">
        <v>840</v>
      </c>
      <c r="J321" s="273" cm="1">
        <f t="array" ref="J321">_xlfn.IFS(I321 = "Catastrophic", 90%, I321 = "Major", 70%, I321 = "Moderate", 50%, I321 = "Minor", 30%, I321 = "Negligible", 5%)</f>
        <v>0.7</v>
      </c>
      <c r="K321" s="271">
        <f t="shared" ref="K321" si="125">D321*J321</f>
        <v>125999.99999999999</v>
      </c>
      <c r="L321" s="25" cm="1">
        <f t="array" ref="L321">_xlfn.IFS(H321 = "Almost Certain", 0.8, H321 = "Likely", 0.75, H321 = "Possible", 0.5, H321 = "Unlikely", 0.25, H321= "Rare", 0.1)</f>
        <v>0.75</v>
      </c>
      <c r="M321" s="271">
        <f t="shared" si="120"/>
        <v>94499.999999999985</v>
      </c>
      <c r="N321" s="271">
        <f t="shared" si="121"/>
        <v>94499.999999999985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2" spans="1:14" ht="14.5" customHeight="1" x14ac:dyDescent="0.2">
      <c r="E322" s="3" t="s">
        <v>904</v>
      </c>
      <c r="F322" s="3" t="s">
        <v>859</v>
      </c>
      <c r="G322" s="290">
        <v>20</v>
      </c>
      <c r="H322" s="3" t="s">
        <v>838</v>
      </c>
      <c r="I322" s="3" t="s">
        <v>840</v>
      </c>
      <c r="J322" s="273" cm="1">
        <f t="array" ref="J322">_xlfn.IFS(I322 = "Catastrophic", 90%, I322 = "Major", 70%, I322 = "Moderate", 50%, I322 = "Minor", 30%, I322 = "Negligible", 5%)</f>
        <v>0.7</v>
      </c>
      <c r="K322" s="271">
        <f t="shared" ref="K322" si="126">D321*J322</f>
        <v>125999.99999999999</v>
      </c>
      <c r="L322" s="25" cm="1">
        <f t="array" ref="L322">_xlfn.IFS(H322 = "Almost Certain", 0.8, H322 = "Likely", 0.75, H322 = "Possible", 0.5, H322 = "Unlikely", 0.25, H322= "Rare", 0.1)</f>
        <v>0.5</v>
      </c>
      <c r="M322" s="271">
        <f t="shared" si="120"/>
        <v>62999.999999999993</v>
      </c>
      <c r="N322" s="271">
        <f t="shared" si="121"/>
        <v>62999.999999999993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3" spans="1:14" ht="14.5" customHeight="1" x14ac:dyDescent="0.2">
      <c r="E323" s="3" t="s">
        <v>1517</v>
      </c>
      <c r="F323" s="3" t="s">
        <v>1507</v>
      </c>
      <c r="G323" s="290">
        <v>30</v>
      </c>
      <c r="H323" s="3" t="s">
        <v>838</v>
      </c>
      <c r="I323" s="3" t="s">
        <v>859</v>
      </c>
      <c r="J323" s="273" cm="1">
        <f t="array" ref="J323">_xlfn.IFS(I323 = "Catastrophic", 90%, I323 = "Major", 70%, I323 = "Moderate", 50%, I323 = "Minor", 30%, I323 = "Negligible", 5%)</f>
        <v>0.5</v>
      </c>
      <c r="K323" s="271">
        <f t="shared" ref="K323" si="127">D321*J323</f>
        <v>90000</v>
      </c>
      <c r="L323" s="25" cm="1">
        <f t="array" ref="L323">_xlfn.IFS(H323 = "Almost Certain", 0.8, H323 = "Likely", 0.75, H323 = "Possible", 0.5, H323 = "Unlikely", 0.25, H323= "Rare", 0.1)</f>
        <v>0.5</v>
      </c>
      <c r="M323" s="271">
        <f t="shared" si="120"/>
        <v>45000</v>
      </c>
      <c r="N323" s="271">
        <f t="shared" si="121"/>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4" spans="1:14" ht="14.5" customHeight="1" x14ac:dyDescent="0.2">
      <c r="B324" s="638" t="s">
        <v>734</v>
      </c>
      <c r="C324" s="638" t="s">
        <v>1450</v>
      </c>
      <c r="D324" s="271">
        <v>120000</v>
      </c>
      <c r="E324" s="3" t="s">
        <v>904</v>
      </c>
      <c r="F324" s="3" t="s">
        <v>859</v>
      </c>
      <c r="G324" s="290">
        <v>20</v>
      </c>
      <c r="H324" s="3" t="s">
        <v>850</v>
      </c>
      <c r="I324" s="3" t="s">
        <v>840</v>
      </c>
      <c r="J324" s="273" cm="1">
        <f t="array" ref="J324">_xlfn.IFS(I324 = "Catastrophic", 90%, I324 = "Major", 70%, I324 = "Moderate", 50%, I324 = "Minor", 30%, I324 = "Negligible", 5%)</f>
        <v>0.7</v>
      </c>
      <c r="K324" s="271">
        <f t="shared" ref="K324" si="128">D324*J324</f>
        <v>84000</v>
      </c>
      <c r="L324" s="25" cm="1">
        <f t="array" ref="L324">_xlfn.IFS(H324 = "Almost Certain", 0.8, H324 = "Likely", 0.75, H324 = "Possible", 0.5, H324 = "Unlikely", 0.25, H324= "Rare", 0.1)</f>
        <v>0.75</v>
      </c>
      <c r="M324" s="271">
        <f t="shared" si="120"/>
        <v>63000</v>
      </c>
      <c r="N324" s="271">
        <f t="shared" si="121"/>
        <v>63000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5" spans="1:14" ht="14.5" customHeight="1" x14ac:dyDescent="0.2">
      <c r="E325" s="3" t="s">
        <v>851</v>
      </c>
      <c r="F325" s="3" t="s">
        <v>859</v>
      </c>
      <c r="G325" s="290">
        <v>25</v>
      </c>
      <c r="H325" s="3" t="s">
        <v>838</v>
      </c>
      <c r="I325" s="3" t="s">
        <v>840</v>
      </c>
      <c r="J325" s="273" cm="1">
        <f t="array" ref="J325">_xlfn.IFS(I325 = "Catastrophic", 90%, I325 = "Major", 70%, I325 = "Moderate", 50%, I325 = "Minor", 30%, I325 = "Negligible", 5%)</f>
        <v>0.7</v>
      </c>
      <c r="K325" s="271">
        <f t="shared" ref="K325" si="129">D324*J325</f>
        <v>84000</v>
      </c>
      <c r="L325" s="25" cm="1">
        <f t="array" ref="L325">_xlfn.IFS(H325 = "Almost Certain", 0.8, H325 = "Likely", 0.75, H325 = "Possible", 0.5, H325 = "Unlikely", 0.25, H325= "Rare", 0.1)</f>
        <v>0.5</v>
      </c>
      <c r="M325" s="271">
        <f t="shared" si="120"/>
        <v>42000</v>
      </c>
      <c r="N325" s="271">
        <f t="shared" si="121"/>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6" spans="1:14" ht="14.5" customHeight="1" x14ac:dyDescent="0.2">
      <c r="E326" s="3" t="s">
        <v>912</v>
      </c>
      <c r="F326" s="3" t="s">
        <v>1507</v>
      </c>
      <c r="G326" s="290">
        <v>30</v>
      </c>
      <c r="H326" s="3" t="s">
        <v>838</v>
      </c>
      <c r="I326" s="3" t="s">
        <v>859</v>
      </c>
      <c r="J326" s="273" cm="1">
        <f t="array" ref="J326">_xlfn.IFS(I326 = "Catastrophic", 90%, I326 = "Major", 70%, I326 = "Moderate", 50%, I326 = "Minor", 30%, I326 = "Negligible", 5%)</f>
        <v>0.5</v>
      </c>
      <c r="K326" s="271">
        <f t="shared" ref="K326" si="130">D324*J326</f>
        <v>60000</v>
      </c>
      <c r="L326" s="25" cm="1">
        <f t="array" ref="L326">_xlfn.IFS(H326 = "Almost Certain", 0.8, H326 = "Likely", 0.75, H326 = "Possible", 0.5, H326 = "Unlikely", 0.25, H326= "Rare", 0.1)</f>
        <v>0.5</v>
      </c>
      <c r="M326" s="271">
        <f t="shared" si="120"/>
        <v>30000</v>
      </c>
      <c r="N326" s="271">
        <f t="shared" si="12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7" spans="1:14" ht="14.5" customHeight="1" x14ac:dyDescent="0.2">
      <c r="B327" s="638" t="s">
        <v>741</v>
      </c>
      <c r="C327" s="638" t="s">
        <v>742</v>
      </c>
      <c r="D327" s="271">
        <v>140000</v>
      </c>
      <c r="E327" s="3" t="s">
        <v>904</v>
      </c>
      <c r="F327" s="3" t="s">
        <v>1505</v>
      </c>
      <c r="G327" s="290">
        <v>25</v>
      </c>
      <c r="H327" s="3" t="s">
        <v>858</v>
      </c>
      <c r="I327" s="3" t="s">
        <v>840</v>
      </c>
      <c r="J327" s="273" cm="1">
        <f t="array" ref="J327">_xlfn.IFS(I327 = "Catastrophic", 90%, I327 = "Major", 70%, I327 = "Moderate", 50%, I327 = "Minor", 30%, I327 = "Negligible", 5%)</f>
        <v>0.7</v>
      </c>
      <c r="K327" s="271">
        <f t="shared" ref="K327" si="131">D327*J327</f>
        <v>98000</v>
      </c>
      <c r="L327" s="25" cm="1">
        <f t="array" ref="L327">_xlfn.IFS(H327 = "Almost Certain", 0.8, H327 = "Likely", 0.75, H327 = "Possible", 0.5, H327 = "Unlikely", 0.25, H327= "Rare", 0.1)</f>
        <v>0.8</v>
      </c>
      <c r="M327" s="271">
        <f t="shared" si="120"/>
        <v>78400</v>
      </c>
      <c r="N327" s="271">
        <f t="shared" si="121"/>
        <v>78400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8" spans="1:14" ht="14.5" customHeight="1" x14ac:dyDescent="0.2">
      <c r="E328" s="3" t="s">
        <v>1434</v>
      </c>
      <c r="F328" s="3" t="s">
        <v>859</v>
      </c>
      <c r="G328" s="290">
        <v>30</v>
      </c>
      <c r="H328" s="3" t="s">
        <v>850</v>
      </c>
      <c r="I328" s="3" t="s">
        <v>840</v>
      </c>
      <c r="J328" s="273" cm="1">
        <f t="array" ref="J328">_xlfn.IFS(I328 = "Catastrophic", 90%, I328 = "Major", 70%, I328 = "Moderate", 50%, I328 = "Minor", 30%, I328 = "Negligible", 5%)</f>
        <v>0.7</v>
      </c>
      <c r="K328" s="271">
        <f t="shared" ref="K328" si="132">D327*J328</f>
        <v>98000</v>
      </c>
      <c r="L328" s="25" cm="1">
        <f t="array" ref="L328">_xlfn.IFS(H328 = "Almost Certain", 0.8, H328 = "Likely", 0.75, H328 = "Possible", 0.5, H328 = "Unlikely", 0.25, H328= "Rare", 0.1)</f>
        <v>0.75</v>
      </c>
      <c r="M328" s="271">
        <f t="shared" si="120"/>
        <v>73500</v>
      </c>
      <c r="N328" s="271">
        <f t="shared" si="121"/>
        <v>73500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9" spans="1:14" ht="14.5" customHeight="1" x14ac:dyDescent="0.2">
      <c r="E329" s="3" t="s">
        <v>851</v>
      </c>
      <c r="F329" s="3" t="s">
        <v>859</v>
      </c>
      <c r="G329" s="290">
        <v>20</v>
      </c>
      <c r="H329" s="3" t="s">
        <v>838</v>
      </c>
      <c r="I329" s="3" t="s">
        <v>840</v>
      </c>
      <c r="J329" s="273" cm="1">
        <f t="array" ref="J329">_xlfn.IFS(I329 = "Catastrophic", 90%, I329 = "Major", 70%, I329 = "Moderate", 50%, I329 = "Minor", 30%, I329 = "Negligible", 5%)</f>
        <v>0.7</v>
      </c>
      <c r="K329" s="271">
        <f t="shared" ref="K329" si="133">D327*J329</f>
        <v>98000</v>
      </c>
      <c r="L329" s="25" cm="1">
        <f t="array" ref="L329">_xlfn.IFS(H329 = "Almost Certain", 0.8, H329 = "Likely", 0.75, H329 = "Possible", 0.5, H329 = "Unlikely", 0.25, H329= "Rare", 0.1)</f>
        <v>0.5</v>
      </c>
      <c r="M329" s="271">
        <f t="shared" si="120"/>
        <v>49000</v>
      </c>
      <c r="N329" s="271">
        <f t="shared" si="121"/>
        <v>49000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0" spans="1:14" ht="14.5" customHeight="1" x14ac:dyDescent="0.2">
      <c r="B330" s="638" t="s">
        <v>748</v>
      </c>
      <c r="C330" s="638" t="s">
        <v>749</v>
      </c>
      <c r="D330" s="271">
        <v>90000</v>
      </c>
      <c r="E330" s="3" t="s">
        <v>1518</v>
      </c>
      <c r="F330" s="3" t="s">
        <v>859</v>
      </c>
      <c r="G330" s="290">
        <v>15</v>
      </c>
      <c r="H330" s="3" t="s">
        <v>850</v>
      </c>
      <c r="I330" s="3" t="s">
        <v>840</v>
      </c>
      <c r="J330" s="273" cm="1">
        <f t="array" ref="J330">_xlfn.IFS(I330 = "Catastrophic", 90%, I330 = "Major", 70%, I330 = "Moderate", 50%, I330 = "Minor", 30%, I330 = "Negligible", 5%)</f>
        <v>0.7</v>
      </c>
      <c r="K330" s="271">
        <f t="shared" ref="K330" si="134">D330*J330</f>
        <v>62999.999999999993</v>
      </c>
      <c r="L330" s="25" cm="1">
        <f t="array" ref="L330">_xlfn.IFS(H330 = "Almost Certain", 0.8, H330 = "Likely", 0.75, H330 = "Possible", 0.5, H330 = "Unlikely", 0.25, H330= "Rare", 0.1)</f>
        <v>0.75</v>
      </c>
      <c r="M330" s="271">
        <f t="shared" si="120"/>
        <v>47249.999999999993</v>
      </c>
      <c r="N330" s="271">
        <f t="shared" si="121"/>
        <v>47249.999999999993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1" spans="1:14" ht="14.5" customHeight="1" x14ac:dyDescent="0.2">
      <c r="E331" s="3" t="s">
        <v>904</v>
      </c>
      <c r="F331" s="3" t="s">
        <v>859</v>
      </c>
      <c r="G331" s="290">
        <v>20</v>
      </c>
      <c r="H331" s="3" t="s">
        <v>838</v>
      </c>
      <c r="I331" s="3" t="s">
        <v>840</v>
      </c>
      <c r="J331" s="273" cm="1">
        <f t="array" ref="J331">_xlfn.IFS(I331 = "Catastrophic", 90%, I331 = "Major", 70%, I331 = "Moderate", 50%, I331 = "Minor", 30%, I331 = "Negligible", 5%)</f>
        <v>0.7</v>
      </c>
      <c r="K331" s="271">
        <f t="shared" ref="K331" si="135">D330*J331</f>
        <v>62999.999999999993</v>
      </c>
      <c r="L331" s="25" cm="1">
        <f t="array" ref="L331">_xlfn.IFS(H331 = "Almost Certain", 0.8, H331 = "Likely", 0.75, H331 = "Possible", 0.5, H331 = "Unlikely", 0.25, H331= "Rare", 0.1)</f>
        <v>0.5</v>
      </c>
      <c r="M331" s="271">
        <f t="shared" si="120"/>
        <v>31499.999999999996</v>
      </c>
      <c r="N331" s="271">
        <f t="shared" si="121"/>
        <v>31499.999999999996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2" spans="1:14" ht="14.5" customHeight="1" x14ac:dyDescent="0.2">
      <c r="E332" s="3" t="s">
        <v>851</v>
      </c>
      <c r="F332" s="3" t="s">
        <v>1507</v>
      </c>
      <c r="G332" s="290">
        <v>25</v>
      </c>
      <c r="H332" s="3" t="s">
        <v>838</v>
      </c>
      <c r="I332" s="3" t="s">
        <v>859</v>
      </c>
      <c r="J332" s="273" cm="1">
        <f t="array" ref="J332">_xlfn.IFS(I332 = "Catastrophic", 90%, I332 = "Major", 70%, I332 = "Moderate", 50%, I332 = "Minor", 30%, I332 = "Negligible", 5%)</f>
        <v>0.5</v>
      </c>
      <c r="K332" s="271">
        <f t="shared" ref="K332" si="136">D330*J332</f>
        <v>45000</v>
      </c>
      <c r="L332" s="25" cm="1">
        <f t="array" ref="L332">_xlfn.IFS(H332 = "Almost Certain", 0.8, H332 = "Likely", 0.75, H332 = "Possible", 0.5, H332 = "Unlikely", 0.25, H332= "Rare", 0.1)</f>
        <v>0.5</v>
      </c>
      <c r="M332" s="271">
        <f t="shared" si="120"/>
        <v>22500</v>
      </c>
      <c r="N332" s="271">
        <f t="shared" si="121"/>
        <v>22500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3" spans="1:14" ht="14.5" customHeight="1" x14ac:dyDescent="0.2">
      <c r="B333" s="638" t="s">
        <v>757</v>
      </c>
      <c r="C333" s="638" t="s">
        <v>1463</v>
      </c>
      <c r="D333" s="271">
        <v>150000</v>
      </c>
      <c r="E333" s="3" t="s">
        <v>912</v>
      </c>
      <c r="F333" s="3" t="s">
        <v>859</v>
      </c>
      <c r="G333" s="290">
        <v>20</v>
      </c>
      <c r="H333" s="3" t="s">
        <v>850</v>
      </c>
      <c r="I333" s="3" t="s">
        <v>840</v>
      </c>
      <c r="J333" s="273" cm="1">
        <f t="array" ref="J333">_xlfn.IFS(I333 = "Catastrophic", 90%, I333 = "Major", 70%, I333 = "Moderate", 50%, I333 = "Minor", 30%, I333 = "Negligible", 5%)</f>
        <v>0.7</v>
      </c>
      <c r="K333" s="271">
        <f t="shared" ref="K333" si="137">D333*J333</f>
        <v>105000</v>
      </c>
      <c r="L333" s="25" cm="1">
        <f t="array" ref="L333">_xlfn.IFS(H333 = "Almost Certain", 0.8, H333 = "Likely", 0.75, H333 = "Possible", 0.5, H333 = "Unlikely", 0.25, H333= "Rare", 0.1)</f>
        <v>0.75</v>
      </c>
      <c r="M333" s="271">
        <f t="shared" si="120"/>
        <v>78750</v>
      </c>
      <c r="N333" s="271">
        <f t="shared" si="121"/>
        <v>78750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4" spans="1:14" ht="14.5" customHeight="1" x14ac:dyDescent="0.2">
      <c r="E334" s="3" t="s">
        <v>904</v>
      </c>
      <c r="F334" s="3" t="s">
        <v>859</v>
      </c>
      <c r="G334" s="290">
        <v>30</v>
      </c>
      <c r="H334" s="3" t="s">
        <v>850</v>
      </c>
      <c r="I334" s="3" t="s">
        <v>840</v>
      </c>
      <c r="J334" s="273" cm="1">
        <f t="array" ref="J334">_xlfn.IFS(I334 = "Catastrophic", 90%, I334 = "Major", 70%, I334 = "Moderate", 50%, I334 = "Minor", 30%, I334 = "Negligible", 5%)</f>
        <v>0.7</v>
      </c>
      <c r="K334" s="271">
        <f t="shared" ref="K334" si="138">D333*J334</f>
        <v>105000</v>
      </c>
      <c r="L334" s="25" cm="1">
        <f t="array" ref="L334">_xlfn.IFS(H334 = "Almost Certain", 0.8, H334 = "Likely", 0.75, H334 = "Possible", 0.5, H334 = "Unlikely", 0.25, H334= "Rare", 0.1)</f>
        <v>0.75</v>
      </c>
      <c r="M334" s="271">
        <f t="shared" si="120"/>
        <v>78750</v>
      </c>
      <c r="N334" s="271">
        <f t="shared" si="121"/>
        <v>78750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5" spans="1:14" ht="14.5" customHeight="1" x14ac:dyDescent="0.2">
      <c r="E335" s="3" t="s">
        <v>908</v>
      </c>
      <c r="F335" s="3" t="s">
        <v>1505</v>
      </c>
      <c r="G335" s="290">
        <v>15</v>
      </c>
      <c r="H335" s="3" t="s">
        <v>858</v>
      </c>
      <c r="I335" s="3" t="s">
        <v>840</v>
      </c>
      <c r="J335" s="273" cm="1">
        <f t="array" ref="J335">_xlfn.IFS(I335 = "Catastrophic", 90%, I335 = "Major", 70%, I335 = "Moderate", 50%, I335 = "Minor", 30%, I335 = "Negligible", 5%)</f>
        <v>0.7</v>
      </c>
      <c r="K335" s="271">
        <f t="shared" ref="K335" si="139">D333*J335</f>
        <v>105000</v>
      </c>
      <c r="L335" s="25" cm="1">
        <f t="array" ref="L335">_xlfn.IFS(H335 = "Almost Certain", 0.8, H335 = "Likely", 0.75, H335 = "Possible", 0.5, H335 = "Unlikely", 0.25, H335= "Rare", 0.1)</f>
        <v>0.8</v>
      </c>
      <c r="M335" s="271">
        <f t="shared" si="120"/>
        <v>84000</v>
      </c>
      <c r="N335" s="271">
        <f t="shared" si="121"/>
        <v>84000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6" spans="1:14" ht="14.5" customHeight="1" x14ac:dyDescent="0.2">
      <c r="B336" s="638" t="s">
        <v>764</v>
      </c>
      <c r="C336" s="638" t="s">
        <v>765</v>
      </c>
      <c r="D336" s="271">
        <v>130000</v>
      </c>
      <c r="E336" s="3" t="s">
        <v>845</v>
      </c>
      <c r="F336" s="3" t="s">
        <v>859</v>
      </c>
      <c r="G336" s="290">
        <v>15</v>
      </c>
      <c r="H336" s="3" t="s">
        <v>838</v>
      </c>
      <c r="I336" s="3" t="s">
        <v>840</v>
      </c>
      <c r="J336" s="273" cm="1">
        <f t="array" ref="J336">_xlfn.IFS(I336 = "Catastrophic", 90%, I336 = "Major", 70%, I336 = "Moderate", 50%, I336 = "Minor", 30%, I336 = "Negligible", 5%)</f>
        <v>0.7</v>
      </c>
      <c r="K336" s="271">
        <f t="shared" ref="K336" si="140">D336*J336</f>
        <v>91000</v>
      </c>
      <c r="L336" s="25" cm="1">
        <f t="array" ref="L336">_xlfn.IFS(H336 = "Almost Certain", 0.8, H336 = "Likely", 0.75, H336 = "Possible", 0.5, H336 = "Unlikely", 0.25, H336= "Rare", 0.1)</f>
        <v>0.5</v>
      </c>
      <c r="M336" s="271">
        <f t="shared" si="120"/>
        <v>45500</v>
      </c>
      <c r="N336" s="271">
        <f t="shared" si="121"/>
        <v>45500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7" spans="1:14" ht="14.5" customHeight="1" x14ac:dyDescent="0.2">
      <c r="E337" s="3" t="s">
        <v>904</v>
      </c>
      <c r="F337" s="3" t="s">
        <v>859</v>
      </c>
      <c r="G337" s="290">
        <v>20</v>
      </c>
      <c r="H337" s="3" t="s">
        <v>850</v>
      </c>
      <c r="I337" s="3" t="s">
        <v>840</v>
      </c>
      <c r="J337" s="273" cm="1">
        <f t="array" ref="J337">_xlfn.IFS(I337 = "Catastrophic", 90%, I337 = "Major", 70%, I337 = "Moderate", 50%, I337 = "Minor", 30%, I337 = "Negligible", 5%)</f>
        <v>0.7</v>
      </c>
      <c r="K337" s="271">
        <f t="shared" ref="K337" si="141">D336*J337</f>
        <v>91000</v>
      </c>
      <c r="L337" s="25" cm="1">
        <f t="array" ref="L337">_xlfn.IFS(H337 = "Almost Certain", 0.8, H337 = "Likely", 0.75, H337 = "Possible", 0.5, H337 = "Unlikely", 0.25, H337= "Rare", 0.1)</f>
        <v>0.75</v>
      </c>
      <c r="M337" s="271">
        <f t="shared" si="120"/>
        <v>68250</v>
      </c>
      <c r="N337" s="271">
        <f t="shared" si="121"/>
        <v>68250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8" spans="1:14" ht="14.5" customHeight="1" x14ac:dyDescent="0.2">
      <c r="E338" s="3" t="s">
        <v>851</v>
      </c>
      <c r="F338" s="3" t="s">
        <v>1507</v>
      </c>
      <c r="G338" s="290">
        <v>25</v>
      </c>
      <c r="H338" s="3" t="s">
        <v>838</v>
      </c>
      <c r="I338" s="3" t="s">
        <v>859</v>
      </c>
      <c r="J338" s="273" cm="1">
        <f t="array" ref="J338">_xlfn.IFS(I338 = "Catastrophic", 90%, I338 = "Major", 70%, I338 = "Moderate", 50%, I338 = "Minor", 30%, I338 = "Negligible", 5%)</f>
        <v>0.5</v>
      </c>
      <c r="K338" s="271">
        <f t="shared" ref="K338" si="142">D336*J338</f>
        <v>65000</v>
      </c>
      <c r="L338" s="25" cm="1">
        <f t="array" ref="L338">_xlfn.IFS(H338 = "Almost Certain", 0.8, H338 = "Likely", 0.75, H338 = "Possible", 0.5, H338 = "Unlikely", 0.25, H338= "Rare", 0.1)</f>
        <v>0.5</v>
      </c>
      <c r="M338" s="271">
        <f t="shared" si="120"/>
        <v>32500</v>
      </c>
      <c r="N338" s="271">
        <f t="shared" si="121"/>
        <v>32500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9" spans="1:14" ht="14.5" customHeight="1" x14ac:dyDescent="0.2">
      <c r="B339" s="638" t="s">
        <v>771</v>
      </c>
      <c r="C339" s="638" t="s">
        <v>772</v>
      </c>
      <c r="D339" s="271">
        <v>110000</v>
      </c>
      <c r="E339" s="3" t="s">
        <v>1434</v>
      </c>
      <c r="F339" s="3" t="s">
        <v>1505</v>
      </c>
      <c r="G339" s="290">
        <v>20</v>
      </c>
      <c r="H339" s="3" t="s">
        <v>850</v>
      </c>
      <c r="I339" s="3" t="s">
        <v>840</v>
      </c>
      <c r="J339" s="273" cm="1">
        <f t="array" ref="J339">_xlfn.IFS(I339 = "Catastrophic", 90%, I339 = "Major", 70%, I339 = "Moderate", 50%, I339 = "Minor", 30%, I339 = "Negligible", 5%)</f>
        <v>0.7</v>
      </c>
      <c r="K339" s="271">
        <f t="shared" ref="K339" si="143">D339*J339</f>
        <v>77000</v>
      </c>
      <c r="L339" s="25" cm="1">
        <f t="array" ref="L339">_xlfn.IFS(H339 = "Almost Certain", 0.8, H339 = "Likely", 0.75, H339 = "Possible", 0.5, H339 = "Unlikely", 0.25, H339= "Rare", 0.1)</f>
        <v>0.75</v>
      </c>
      <c r="M339" s="271">
        <f t="shared" si="120"/>
        <v>57750</v>
      </c>
      <c r="N339" s="271">
        <f t="shared" si="121"/>
        <v>57750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0" spans="1:14" ht="14.5" customHeight="1" x14ac:dyDescent="0.2">
      <c r="E340" s="3" t="s">
        <v>904</v>
      </c>
      <c r="F340" s="3" t="s">
        <v>859</v>
      </c>
      <c r="G340" s="290">
        <v>25</v>
      </c>
      <c r="H340" s="3" t="s">
        <v>838</v>
      </c>
      <c r="I340" s="3" t="s">
        <v>840</v>
      </c>
      <c r="J340" s="273" cm="1">
        <f t="array" ref="J340">_xlfn.IFS(I340 = "Catastrophic", 90%, I340 = "Major", 70%, I340 = "Moderate", 50%, I340 = "Minor", 30%, I340 = "Negligible", 5%)</f>
        <v>0.7</v>
      </c>
      <c r="K340" s="271">
        <f t="shared" ref="K340" si="144">D339*J340</f>
        <v>77000</v>
      </c>
      <c r="L340" s="25" cm="1">
        <f t="array" ref="L340">_xlfn.IFS(H340 = "Almost Certain", 0.8, H340 = "Likely", 0.75, H340 = "Possible", 0.5, H340 = "Unlikely", 0.25, H340= "Rare", 0.1)</f>
        <v>0.5</v>
      </c>
      <c r="M340" s="271">
        <f t="shared" si="120"/>
        <v>38500</v>
      </c>
      <c r="N340" s="271">
        <f t="shared" si="121"/>
        <v>38500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1" spans="1:14" ht="14.5" customHeight="1" x14ac:dyDescent="0.2">
      <c r="E341" s="3" t="s">
        <v>912</v>
      </c>
      <c r="F341" s="3" t="s">
        <v>1507</v>
      </c>
      <c r="G341" s="290">
        <v>15</v>
      </c>
      <c r="H341" s="3" t="s">
        <v>838</v>
      </c>
      <c r="I341" s="3" t="s">
        <v>859</v>
      </c>
      <c r="J341" s="273" cm="1">
        <f t="array" ref="J341">_xlfn.IFS(I341 = "Catastrophic", 90%, I341 = "Major", 70%, I341 = "Moderate", 50%, I341 = "Minor", 30%, I341 = "Negligible", 5%)</f>
        <v>0.5</v>
      </c>
      <c r="K341" s="271">
        <f t="shared" ref="K341" si="145">D339*J341</f>
        <v>55000</v>
      </c>
      <c r="L341" s="25" cm="1">
        <f t="array" ref="L341">_xlfn.IFS(H341 = "Almost Certain", 0.8, H341 = "Likely", 0.75, H341 = "Possible", 0.5, H341 = "Unlikely", 0.25, H341= "Rare", 0.1)</f>
        <v>0.5</v>
      </c>
      <c r="M341" s="271">
        <f t="shared" si="120"/>
        <v>27500</v>
      </c>
      <c r="N341" s="271">
        <f t="shared" si="121"/>
        <v>27500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2" spans="1:14" ht="14.5" customHeight="1" x14ac:dyDescent="0.2">
      <c r="B342" s="638" t="s">
        <v>780</v>
      </c>
      <c r="C342" s="638" t="s">
        <v>787</v>
      </c>
      <c r="D342" s="271">
        <v>120000</v>
      </c>
      <c r="E342" s="3" t="s">
        <v>1122</v>
      </c>
      <c r="F342" s="3" t="s">
        <v>859</v>
      </c>
      <c r="G342" s="290">
        <v>25</v>
      </c>
      <c r="H342" s="3" t="s">
        <v>850</v>
      </c>
      <c r="I342" s="3" t="s">
        <v>840</v>
      </c>
      <c r="J342" s="273" cm="1">
        <f t="array" ref="J342">_xlfn.IFS(I342 = "Catastrophic", 90%, I342 = "Major", 70%, I342 = "Moderate", 50%, I342 = "Minor", 30%, I342 = "Negligible", 5%)</f>
        <v>0.7</v>
      </c>
      <c r="K342" s="271">
        <f t="shared" ref="K342" si="146">D342*J342</f>
        <v>84000</v>
      </c>
      <c r="L342" s="25" cm="1">
        <f t="array" ref="L342">_xlfn.IFS(H342 = "Almost Certain", 0.8, H342 = "Likely", 0.75, H342 = "Possible", 0.5, H342 = "Unlikely", 0.25, H342= "Rare", 0.1)</f>
        <v>0.75</v>
      </c>
      <c r="M342" s="271">
        <f t="shared" si="120"/>
        <v>63000</v>
      </c>
      <c r="N342" s="271">
        <f t="shared" si="121"/>
        <v>63000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3" spans="1:14" ht="14.5" customHeight="1" x14ac:dyDescent="0.2">
      <c r="E343" s="3" t="s">
        <v>904</v>
      </c>
      <c r="F343" s="3" t="s">
        <v>859</v>
      </c>
      <c r="G343" s="290">
        <v>20</v>
      </c>
      <c r="H343" s="3" t="s">
        <v>850</v>
      </c>
      <c r="I343" s="3" t="s">
        <v>840</v>
      </c>
      <c r="J343" s="273" cm="1">
        <f t="array" ref="J343">_xlfn.IFS(I343 = "Catastrophic", 90%, I343 = "Major", 70%, I343 = "Moderate", 50%, I343 = "Minor", 30%, I343 = "Negligible", 5%)</f>
        <v>0.7</v>
      </c>
      <c r="K343" s="271">
        <f t="shared" ref="K343" si="147">D342*J343</f>
        <v>84000</v>
      </c>
      <c r="L343" s="25" cm="1">
        <f t="array" ref="L343">_xlfn.IFS(H343 = "Almost Certain", 0.8, H343 = "Likely", 0.75, H343 = "Possible", 0.5, H343 = "Unlikely", 0.25, H343= "Rare", 0.1)</f>
        <v>0.75</v>
      </c>
      <c r="M343" s="271">
        <f t="shared" si="120"/>
        <v>63000</v>
      </c>
      <c r="N343" s="271">
        <f t="shared" si="121"/>
        <v>63000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4" spans="1:14" ht="14.5" customHeight="1" x14ac:dyDescent="0.2">
      <c r="E344" s="3" t="s">
        <v>851</v>
      </c>
      <c r="F344" s="3" t="s">
        <v>1507</v>
      </c>
      <c r="G344" s="290">
        <v>15</v>
      </c>
      <c r="H344" s="3" t="s">
        <v>838</v>
      </c>
      <c r="I344" s="3" t="s">
        <v>859</v>
      </c>
      <c r="J344" s="273" cm="1">
        <f t="array" ref="J344">_xlfn.IFS(I344 = "Catastrophic", 90%, I344 = "Major", 70%, I344 = "Moderate", 50%, I344 = "Minor", 30%, I344 = "Negligible", 5%)</f>
        <v>0.5</v>
      </c>
      <c r="K344" s="271">
        <f t="shared" ref="K344" si="148">D342*J344</f>
        <v>60000</v>
      </c>
      <c r="L344" s="25" cm="1">
        <f t="array" ref="L344">_xlfn.IFS(H344 = "Almost Certain", 0.8, H344 = "Likely", 0.75, H344 = "Possible", 0.5, H344 = "Unlikely", 0.25, H344= "Rare", 0.1)</f>
        <v>0.5</v>
      </c>
      <c r="M344" s="271">
        <f t="shared" si="120"/>
        <v>30000</v>
      </c>
      <c r="N344" s="271">
        <f t="shared" si="12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5" spans="1:14" ht="14.5" customHeight="1" x14ac:dyDescent="0.2">
      <c r="B345" s="638" t="s">
        <v>786</v>
      </c>
      <c r="C345" s="638" t="s">
        <v>794</v>
      </c>
      <c r="D345" s="271">
        <v>130000</v>
      </c>
      <c r="E345" s="3" t="s">
        <v>904</v>
      </c>
      <c r="F345" s="3" t="s">
        <v>859</v>
      </c>
      <c r="G345" s="290">
        <v>15</v>
      </c>
      <c r="H345" s="3" t="s">
        <v>850</v>
      </c>
      <c r="I345" s="3" t="s">
        <v>840</v>
      </c>
      <c r="J345" s="273" cm="1">
        <f t="array" ref="J345">_xlfn.IFS(I345 = "Catastrophic", 90%, I345 = "Major", 70%, I345 = "Moderate", 50%, I345 = "Minor", 30%, I345 = "Negligible", 5%)</f>
        <v>0.7</v>
      </c>
      <c r="K345" s="271">
        <f t="shared" ref="K345" si="149">D345*J345</f>
        <v>91000</v>
      </c>
      <c r="L345" s="25" cm="1">
        <f t="array" ref="L345">_xlfn.IFS(H345 = "Almost Certain", 0.8, H345 = "Likely", 0.75, H345 = "Possible", 0.5, H345 = "Unlikely", 0.25, H345= "Rare", 0.1)</f>
        <v>0.75</v>
      </c>
      <c r="M345" s="271">
        <f t="shared" si="120"/>
        <v>68250</v>
      </c>
      <c r="N345" s="271">
        <f t="shared" si="121"/>
        <v>68250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6" spans="1:14" ht="14.5" customHeight="1" x14ac:dyDescent="0.2">
      <c r="E346" s="3" t="s">
        <v>1434</v>
      </c>
      <c r="F346" s="3" t="s">
        <v>859</v>
      </c>
      <c r="G346" s="290">
        <v>20</v>
      </c>
      <c r="H346" s="3" t="s">
        <v>850</v>
      </c>
      <c r="I346" s="3" t="s">
        <v>840</v>
      </c>
      <c r="J346" s="273" cm="1">
        <f t="array" ref="J346">_xlfn.IFS(I346 = "Catastrophic", 90%, I346 = "Major", 70%, I346 = "Moderate", 50%, I346 = "Minor", 30%, I346 = "Negligible", 5%)</f>
        <v>0.7</v>
      </c>
      <c r="K346" s="271">
        <f t="shared" ref="K346" si="150">D345*J346</f>
        <v>91000</v>
      </c>
      <c r="L346" s="25" cm="1">
        <f t="array" ref="L346">_xlfn.IFS(H346 = "Almost Certain", 0.8, H346 = "Likely", 0.75, H346 = "Possible", 0.5, H346 = "Unlikely", 0.25, H346= "Rare", 0.1)</f>
        <v>0.75</v>
      </c>
      <c r="M346" s="271">
        <f t="shared" si="120"/>
        <v>68250</v>
      </c>
      <c r="N346" s="271">
        <f t="shared" si="121"/>
        <v>68250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7" spans="1:14" ht="14.5" customHeight="1" x14ac:dyDescent="0.2">
      <c r="E347" s="3" t="s">
        <v>851</v>
      </c>
      <c r="F347" s="3" t="s">
        <v>1507</v>
      </c>
      <c r="G347" s="290">
        <v>30</v>
      </c>
      <c r="H347" s="3" t="s">
        <v>838</v>
      </c>
      <c r="I347" s="3" t="s">
        <v>859</v>
      </c>
      <c r="J347" s="273" cm="1">
        <f t="array" ref="J347">_xlfn.IFS(I347 = "Catastrophic", 90%, I347 = "Major", 70%, I347 = "Moderate", 50%, I347 = "Minor", 30%, I347 = "Negligible", 5%)</f>
        <v>0.5</v>
      </c>
      <c r="K347" s="271">
        <f t="shared" ref="K347" si="151">D345*J347</f>
        <v>65000</v>
      </c>
      <c r="L347" s="25" cm="1">
        <f t="array" ref="L347">_xlfn.IFS(H347 = "Almost Certain", 0.8, H347 = "Likely", 0.75, H347 = "Possible", 0.5, H347 = "Unlikely", 0.25, H347= "Rare", 0.1)</f>
        <v>0.5</v>
      </c>
      <c r="M347" s="271">
        <f t="shared" si="120"/>
        <v>32500</v>
      </c>
      <c r="N347" s="271">
        <f t="shared" si="121"/>
        <v>32500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8" spans="1:14" ht="14.5" customHeight="1" x14ac:dyDescent="0.2">
      <c r="B348" s="638" t="s">
        <v>793</v>
      </c>
      <c r="C348" s="638" t="s">
        <v>1479</v>
      </c>
      <c r="D348" s="271">
        <v>100000</v>
      </c>
      <c r="E348" s="3" t="s">
        <v>904</v>
      </c>
      <c r="F348" s="3" t="s">
        <v>859</v>
      </c>
      <c r="G348" s="290">
        <v>15</v>
      </c>
      <c r="H348" s="3" t="s">
        <v>850</v>
      </c>
      <c r="I348" s="3" t="s">
        <v>840</v>
      </c>
      <c r="J348" s="273" cm="1">
        <f t="array" ref="J348">_xlfn.IFS(I348 = "Catastrophic", 90%, I348 = "Major", 70%, I348 = "Moderate", 50%, I348 = "Minor", 30%, I348 = "Negligible", 5%)</f>
        <v>0.7</v>
      </c>
      <c r="K348" s="271">
        <f t="shared" ref="K348" si="152">D348*J348</f>
        <v>70000</v>
      </c>
      <c r="L348" s="25" cm="1">
        <f t="array" ref="L348">_xlfn.IFS(H348 = "Almost Certain", 0.8, H348 = "Likely", 0.75, H348 = "Possible", 0.5, H348 = "Unlikely", 0.25, H348= "Rare", 0.1)</f>
        <v>0.75</v>
      </c>
      <c r="M348" s="271">
        <f t="shared" si="120"/>
        <v>52500</v>
      </c>
      <c r="N348" s="271">
        <f t="shared" si="121"/>
        <v>52500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9" spans="1:14" ht="14.5" customHeight="1" x14ac:dyDescent="0.2">
      <c r="E349" s="3" t="s">
        <v>851</v>
      </c>
      <c r="F349" s="3" t="s">
        <v>859</v>
      </c>
      <c r="G349" s="290">
        <v>20</v>
      </c>
      <c r="H349" s="3" t="s">
        <v>838</v>
      </c>
      <c r="I349" s="3" t="s">
        <v>840</v>
      </c>
      <c r="J349" s="273" cm="1">
        <f t="array" ref="J349">_xlfn.IFS(I349 = "Catastrophic", 90%, I349 = "Major", 70%, I349 = "Moderate", 50%, I349 = "Minor", 30%, I349 = "Negligible", 5%)</f>
        <v>0.7</v>
      </c>
      <c r="K349" s="271">
        <f t="shared" ref="K349" si="153">D348*J349</f>
        <v>70000</v>
      </c>
      <c r="L349" s="25" cm="1">
        <f t="array" ref="L349">_xlfn.IFS(H349 = "Almost Certain", 0.8, H349 = "Likely", 0.75, H349 = "Possible", 0.5, H349 = "Unlikely", 0.25, H349= "Rare", 0.1)</f>
        <v>0.5</v>
      </c>
      <c r="M349" s="271">
        <f t="shared" si="120"/>
        <v>35000</v>
      </c>
      <c r="N349" s="271">
        <f t="shared" si="121"/>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0" spans="1:14" ht="14.5" customHeight="1" x14ac:dyDescent="0.2">
      <c r="E350" s="3" t="s">
        <v>912</v>
      </c>
      <c r="F350" s="3" t="s">
        <v>1507</v>
      </c>
      <c r="G350" s="290">
        <v>30</v>
      </c>
      <c r="H350" s="3" t="s">
        <v>838</v>
      </c>
      <c r="I350" s="3" t="s">
        <v>859</v>
      </c>
      <c r="J350" s="273" cm="1">
        <f t="array" ref="J350">_xlfn.IFS(I350 = "Catastrophic", 90%, I350 = "Major", 70%, I350 = "Moderate", 50%, I350 = "Minor", 30%, I350 = "Negligible", 5%)</f>
        <v>0.5</v>
      </c>
      <c r="K350" s="271">
        <f t="shared" ref="K350" si="154">D348*J350</f>
        <v>50000</v>
      </c>
      <c r="L350" s="25" cm="1">
        <f t="array" ref="L350">_xlfn.IFS(H350 = "Almost Certain", 0.8, H350 = "Likely", 0.75, H350 = "Possible", 0.5, H350 = "Unlikely", 0.25, H350= "Rare", 0.1)</f>
        <v>0.5</v>
      </c>
      <c r="M350" s="271">
        <f t="shared" si="120"/>
        <v>25000</v>
      </c>
      <c r="N350" s="271">
        <f t="shared" si="121"/>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1" spans="1:14" ht="14.5" customHeight="1" x14ac:dyDescent="0.2">
      <c r="B351" s="638" t="s">
        <v>802</v>
      </c>
      <c r="C351" s="638" t="s">
        <v>810</v>
      </c>
      <c r="D351" s="271">
        <v>90000</v>
      </c>
      <c r="E351" s="3" t="s">
        <v>904</v>
      </c>
      <c r="F351" s="3" t="s">
        <v>859</v>
      </c>
      <c r="G351" s="290">
        <v>15</v>
      </c>
      <c r="H351" s="3" t="s">
        <v>850</v>
      </c>
      <c r="I351" s="3" t="s">
        <v>840</v>
      </c>
      <c r="J351" s="273" cm="1">
        <f t="array" ref="J351">_xlfn.IFS(I351 = "Catastrophic", 90%, I351 = "Major", 70%, I351 = "Moderate", 50%, I351 = "Minor", 30%, I351 = "Negligible", 5%)</f>
        <v>0.7</v>
      </c>
      <c r="K351" s="271">
        <f t="shared" ref="K351" si="155">D351*J351</f>
        <v>62999.999999999993</v>
      </c>
      <c r="L351" s="25" cm="1">
        <f t="array" ref="L351">_xlfn.IFS(H351 = "Almost Certain", 0.8, H351 = "Likely", 0.75, H351 = "Possible", 0.5, H351 = "Unlikely", 0.25, H351= "Rare", 0.1)</f>
        <v>0.75</v>
      </c>
      <c r="M351" s="271">
        <f t="shared" si="120"/>
        <v>47249.999999999993</v>
      </c>
      <c r="N351" s="271">
        <f t="shared" si="121"/>
        <v>47249.999999999993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2" spans="1:14" ht="14.5" customHeight="1" x14ac:dyDescent="0.2">
      <c r="E352" s="3" t="s">
        <v>851</v>
      </c>
      <c r="F352" s="3" t="s">
        <v>859</v>
      </c>
      <c r="G352" s="290">
        <v>20</v>
      </c>
      <c r="H352" s="3" t="s">
        <v>838</v>
      </c>
      <c r="I352" s="3" t="s">
        <v>840</v>
      </c>
      <c r="J352" s="273" cm="1">
        <f t="array" ref="J352">_xlfn.IFS(I352 = "Catastrophic", 90%, I352 = "Major", 70%, I352 = "Moderate", 50%, I352 = "Minor", 30%, I352 = "Negligible", 5%)</f>
        <v>0.7</v>
      </c>
      <c r="K352" s="271">
        <f t="shared" ref="K352" si="156">D351*J352</f>
        <v>62999.999999999993</v>
      </c>
      <c r="L352" s="25" cm="1">
        <f t="array" ref="L352">_xlfn.IFS(H352 = "Almost Certain", 0.8, H352 = "Likely", 0.75, H352 = "Possible", 0.5, H352 = "Unlikely", 0.25, H352= "Rare", 0.1)</f>
        <v>0.5</v>
      </c>
      <c r="M352" s="271">
        <f t="shared" si="120"/>
        <v>31499.999999999996</v>
      </c>
      <c r="N352" s="271">
        <f t="shared" si="121"/>
        <v>31499.999999999996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3" spans="1:14" ht="14.5" customHeight="1" x14ac:dyDescent="0.2">
      <c r="E353" s="3" t="s">
        <v>1122</v>
      </c>
      <c r="F353" s="3" t="s">
        <v>1507</v>
      </c>
      <c r="G353" s="290">
        <v>30</v>
      </c>
      <c r="H353" s="3" t="s">
        <v>838</v>
      </c>
      <c r="I353" s="3" t="s">
        <v>859</v>
      </c>
      <c r="J353" s="273" cm="1">
        <f t="array" ref="J353">_xlfn.IFS(I353 = "Catastrophic", 90%, I353 = "Major", 70%, I353 = "Moderate", 50%, I353 = "Minor", 30%, I353 = "Negligible", 5%)</f>
        <v>0.5</v>
      </c>
      <c r="K353" s="271">
        <f t="shared" ref="K353" si="157">D351*J353</f>
        <v>45000</v>
      </c>
      <c r="L353" s="25" cm="1">
        <f t="array" ref="L353">_xlfn.IFS(H353 = "Almost Certain", 0.8, H353 = "Likely", 0.75, H353 = "Possible", 0.5, H353 = "Unlikely", 0.25, H353= "Rare", 0.1)</f>
        <v>0.5</v>
      </c>
      <c r="M353" s="271">
        <f t="shared" si="120"/>
        <v>22500</v>
      </c>
      <c r="N353" s="271">
        <f t="shared" si="121"/>
        <v>22500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4" spans="1:14" ht="14.5" customHeight="1" x14ac:dyDescent="0.2">
      <c r="B354" s="638" t="s">
        <v>809</v>
      </c>
      <c r="C354" s="638" t="s">
        <v>1486</v>
      </c>
      <c r="D354" s="271">
        <v>80000</v>
      </c>
      <c r="E354" s="3" t="s">
        <v>904</v>
      </c>
      <c r="F354" s="3" t="s">
        <v>859</v>
      </c>
      <c r="G354" s="290">
        <v>15</v>
      </c>
      <c r="H354" s="3" t="s">
        <v>850</v>
      </c>
      <c r="I354" s="3" t="s">
        <v>840</v>
      </c>
      <c r="J354" s="273" cm="1">
        <f t="array" ref="J354">_xlfn.IFS(I354 = "Catastrophic", 90%, I354 = "Major", 70%, I354 = "Moderate", 50%, I354 = "Minor", 30%, I354 = "Negligible", 5%)</f>
        <v>0.7</v>
      </c>
      <c r="K354" s="271">
        <f t="shared" ref="K354" si="158">D354*J354</f>
        <v>56000</v>
      </c>
      <c r="L354" s="25" cm="1">
        <f t="array" ref="L354">_xlfn.IFS(H354 = "Almost Certain", 0.8, H354 = "Likely", 0.75, H354 = "Possible", 0.5, H354 = "Unlikely", 0.25, H354= "Rare", 0.1)</f>
        <v>0.75</v>
      </c>
      <c r="M354" s="271">
        <f t="shared" si="120"/>
        <v>42000</v>
      </c>
      <c r="N354" s="271">
        <f t="shared" si="121"/>
        <v>42000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5" spans="1:14" ht="14.5" customHeight="1" x14ac:dyDescent="0.2">
      <c r="E355" s="3" t="s">
        <v>851</v>
      </c>
      <c r="F355" s="3" t="s">
        <v>859</v>
      </c>
      <c r="G355" s="290">
        <v>20</v>
      </c>
      <c r="H355" s="3" t="s">
        <v>838</v>
      </c>
      <c r="I355" s="3" t="s">
        <v>840</v>
      </c>
      <c r="J355" s="273" cm="1">
        <f t="array" ref="J355">_xlfn.IFS(I355 = "Catastrophic", 90%, I355 = "Major", 70%, I355 = "Moderate", 50%, I355 = "Minor", 30%, I355 = "Negligible", 5%)</f>
        <v>0.7</v>
      </c>
      <c r="K355" s="271">
        <f t="shared" ref="K355" si="159">D354*J355</f>
        <v>56000</v>
      </c>
      <c r="L355" s="25" cm="1">
        <f t="array" ref="L355">_xlfn.IFS(H355 = "Almost Certain", 0.8, H355 = "Likely", 0.75, H355 = "Possible", 0.5, H355 = "Unlikely", 0.25, H355= "Rare", 0.1)</f>
        <v>0.5</v>
      </c>
      <c r="M355" s="271">
        <f t="shared" si="120"/>
        <v>28000</v>
      </c>
      <c r="N355" s="271">
        <f t="shared" si="121"/>
        <v>28000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6" spans="1:14" ht="14.5" customHeight="1" x14ac:dyDescent="0.2">
      <c r="E356" s="3" t="s">
        <v>912</v>
      </c>
      <c r="F356" s="3" t="s">
        <v>1507</v>
      </c>
      <c r="G356" s="290">
        <v>25</v>
      </c>
      <c r="H356" s="3" t="s">
        <v>838</v>
      </c>
      <c r="I356" s="3" t="s">
        <v>859</v>
      </c>
      <c r="J356" s="273" cm="1">
        <f t="array" ref="J356">_xlfn.IFS(I356 = "Catastrophic", 90%, I356 = "Major", 70%, I356 = "Moderate", 50%, I356 = "Minor", 30%, I356 = "Negligible", 5%)</f>
        <v>0.5</v>
      </c>
      <c r="K356" s="271">
        <f t="shared" ref="K356" si="160">D354*J356</f>
        <v>40000</v>
      </c>
      <c r="L356" s="25" cm="1">
        <f t="array" ref="L356">_xlfn.IFS(H356 = "Almost Certain", 0.8, H356 = "Likely", 0.75, H356 = "Possible", 0.5, H356 = "Unlikely", 0.25, H356= "Rare", 0.1)</f>
        <v>0.5</v>
      </c>
      <c r="M356" s="271">
        <f t="shared" si="120"/>
        <v>20000</v>
      </c>
      <c r="N356" s="271">
        <f t="shared" si="121"/>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7" spans="1:14" ht="14.5" customHeight="1" x14ac:dyDescent="0.2">
      <c r="B357" s="638" t="s">
        <v>816</v>
      </c>
      <c r="C357" s="638" t="s">
        <v>354</v>
      </c>
      <c r="D357" s="271">
        <v>120000</v>
      </c>
      <c r="E357" s="3" t="s">
        <v>1434</v>
      </c>
      <c r="F357" s="3" t="s">
        <v>859</v>
      </c>
      <c r="G357" s="290">
        <v>15</v>
      </c>
      <c r="H357" s="3" t="s">
        <v>850</v>
      </c>
      <c r="I357" s="3" t="s">
        <v>840</v>
      </c>
      <c r="J357" s="273" cm="1">
        <f t="array" ref="J357">_xlfn.IFS(I357 = "Catastrophic", 90%, I357 = "Major", 70%, I357 = "Moderate", 50%, I357 = "Minor", 30%, I357 = "Negligible", 5%)</f>
        <v>0.7</v>
      </c>
      <c r="K357" s="271">
        <f t="shared" ref="K357" si="161">D357*J357</f>
        <v>84000</v>
      </c>
      <c r="L357" s="25" cm="1">
        <f t="array" ref="L357">_xlfn.IFS(H357 = "Almost Certain", 0.8, H357 = "Likely", 0.75, H357 = "Possible", 0.5, H357 = "Unlikely", 0.25, H357= "Rare", 0.1)</f>
        <v>0.75</v>
      </c>
      <c r="M357" s="271">
        <f t="shared" si="120"/>
        <v>63000</v>
      </c>
      <c r="N357" s="271">
        <f t="shared" si="121"/>
        <v>63000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8" spans="1:14" ht="14.5" customHeight="1" x14ac:dyDescent="0.2">
      <c r="E358" s="3" t="s">
        <v>904</v>
      </c>
      <c r="F358" s="3" t="s">
        <v>859</v>
      </c>
      <c r="G358" s="290">
        <v>20</v>
      </c>
      <c r="H358" s="3" t="s">
        <v>850</v>
      </c>
      <c r="I358" s="3" t="s">
        <v>840</v>
      </c>
      <c r="J358" s="273" cm="1">
        <f t="array" ref="J358">_xlfn.IFS(I358 = "Catastrophic", 90%, I358 = "Major", 70%, I358 = "Moderate", 50%, I358 = "Minor", 30%, I358 = "Negligible", 5%)</f>
        <v>0.7</v>
      </c>
      <c r="K358" s="271">
        <f t="shared" ref="K358" si="162">D357*J358</f>
        <v>84000</v>
      </c>
      <c r="L358" s="25" cm="1">
        <f t="array" ref="L358">_xlfn.IFS(H358 = "Almost Certain", 0.8, H358 = "Likely", 0.75, H358 = "Possible", 0.5, H358 = "Unlikely", 0.25, H358= "Rare", 0.1)</f>
        <v>0.75</v>
      </c>
      <c r="M358" s="271">
        <f t="shared" si="120"/>
        <v>63000</v>
      </c>
      <c r="N358" s="271">
        <f t="shared" si="121"/>
        <v>63000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9" spans="1:14" ht="14.5" customHeight="1" x14ac:dyDescent="0.2">
      <c r="E359" s="3" t="s">
        <v>851</v>
      </c>
      <c r="F359" s="3" t="s">
        <v>1507</v>
      </c>
      <c r="G359" s="290">
        <v>25</v>
      </c>
      <c r="H359" s="3" t="s">
        <v>838</v>
      </c>
      <c r="I359" s="3" t="s">
        <v>859</v>
      </c>
      <c r="J359" s="273" cm="1">
        <f t="array" ref="J359">_xlfn.IFS(I359 = "Catastrophic", 90%, I359 = "Major", 70%, I359 = "Moderate", 50%, I359 = "Minor", 30%, I359 = "Negligible", 5%)</f>
        <v>0.5</v>
      </c>
      <c r="K359" s="271">
        <f t="shared" ref="K359" si="163">D357*J359</f>
        <v>60000</v>
      </c>
      <c r="L359" s="25" cm="1">
        <f t="array" ref="L359">_xlfn.IFS(H359 = "Almost Certain", 0.8, H359 = "Likely", 0.75, H359 = "Possible", 0.5, H359 = "Unlikely", 0.25, H359= "Rare", 0.1)</f>
        <v>0.5</v>
      </c>
      <c r="M359" s="271">
        <f t="shared" si="120"/>
        <v>30000</v>
      </c>
      <c r="N359" s="271">
        <f t="shared" si="121"/>
        <v>30000</v>
      </c>
    </row>
  </sheetData>
  <mergeCells count="275">
    <mergeCell ref="B163:B165"/>
    <mergeCell ref="C163:C165"/>
    <mergeCell ref="D163:D165"/>
    <mergeCell ref="D178:D180"/>
    <mergeCell ref="A182:A267"/>
    <mergeCell ref="B182:B189"/>
    <mergeCell ref="C182:C189"/>
    <mergeCell ref="B197:B203"/>
    <mergeCell ref="C197:C203"/>
    <mergeCell ref="B172:B174"/>
    <mergeCell ref="C172:C174"/>
    <mergeCell ref="B204:B210"/>
    <mergeCell ref="C204:C210"/>
    <mergeCell ref="B211:B217"/>
    <mergeCell ref="C211:C217"/>
    <mergeCell ref="B218:B222"/>
    <mergeCell ref="C218:C222"/>
    <mergeCell ref="B178:B180"/>
    <mergeCell ref="B254:B260"/>
    <mergeCell ref="C254:C260"/>
    <mergeCell ref="B261:B267"/>
    <mergeCell ref="C261:C267"/>
    <mergeCell ref="B223:B229"/>
    <mergeCell ref="C223:C229"/>
    <mergeCell ref="A151:A180"/>
    <mergeCell ref="B151:B153"/>
    <mergeCell ref="C151:C153"/>
    <mergeCell ref="D151:D153"/>
    <mergeCell ref="B154:B156"/>
    <mergeCell ref="C154:C156"/>
    <mergeCell ref="D154:D156"/>
    <mergeCell ref="B157:B159"/>
    <mergeCell ref="C157:C159"/>
    <mergeCell ref="D157:D159"/>
    <mergeCell ref="D172:D174"/>
    <mergeCell ref="B175:B177"/>
    <mergeCell ref="C175:C177"/>
    <mergeCell ref="D175:D177"/>
    <mergeCell ref="B166:B168"/>
    <mergeCell ref="C166:C168"/>
    <mergeCell ref="D166:D168"/>
    <mergeCell ref="B169:B171"/>
    <mergeCell ref="C178:C180"/>
    <mergeCell ref="D169:D171"/>
    <mergeCell ref="B160:B162"/>
    <mergeCell ref="C160:C162"/>
    <mergeCell ref="C169:C171"/>
    <mergeCell ref="D160:D162"/>
    <mergeCell ref="D146:D147"/>
    <mergeCell ref="B148:B149"/>
    <mergeCell ref="C148:C149"/>
    <mergeCell ref="D148:D149"/>
    <mergeCell ref="B142:B143"/>
    <mergeCell ref="C142:C143"/>
    <mergeCell ref="D142:D143"/>
    <mergeCell ref="B144:B145"/>
    <mergeCell ref="C144:C145"/>
    <mergeCell ref="D144:D145"/>
    <mergeCell ref="B140:B141"/>
    <mergeCell ref="C140:C141"/>
    <mergeCell ref="D140:D141"/>
    <mergeCell ref="B134:B135"/>
    <mergeCell ref="C134:C135"/>
    <mergeCell ref="D134:D135"/>
    <mergeCell ref="B136:B137"/>
    <mergeCell ref="C136:C137"/>
    <mergeCell ref="D136:D137"/>
    <mergeCell ref="A116:A149"/>
    <mergeCell ref="B116:B117"/>
    <mergeCell ref="C116:C117"/>
    <mergeCell ref="B122:B123"/>
    <mergeCell ref="C122:C123"/>
    <mergeCell ref="B128:B129"/>
    <mergeCell ref="B100:B102"/>
    <mergeCell ref="C100:C102"/>
    <mergeCell ref="B103:B105"/>
    <mergeCell ref="C103:C105"/>
    <mergeCell ref="B106:B108"/>
    <mergeCell ref="C106:C108"/>
    <mergeCell ref="C128:C129"/>
    <mergeCell ref="B138:B139"/>
    <mergeCell ref="C138:C139"/>
    <mergeCell ref="B146:B147"/>
    <mergeCell ref="C146:C147"/>
    <mergeCell ref="B118:B119"/>
    <mergeCell ref="C118:C119"/>
    <mergeCell ref="B120:B121"/>
    <mergeCell ref="C120:C121"/>
    <mergeCell ref="B109:B111"/>
    <mergeCell ref="C109:C111"/>
    <mergeCell ref="B112:B114"/>
    <mergeCell ref="C8:C10"/>
    <mergeCell ref="B11:B13"/>
    <mergeCell ref="C11:C13"/>
    <mergeCell ref="B91:B93"/>
    <mergeCell ref="C91:C93"/>
    <mergeCell ref="B94:B96"/>
    <mergeCell ref="C94:C96"/>
    <mergeCell ref="B97:B99"/>
    <mergeCell ref="C97:C99"/>
    <mergeCell ref="B41:B43"/>
    <mergeCell ref="C41:C43"/>
    <mergeCell ref="B44:B46"/>
    <mergeCell ref="C44:C46"/>
    <mergeCell ref="B14:B16"/>
    <mergeCell ref="C14:C16"/>
    <mergeCell ref="B17:B19"/>
    <mergeCell ref="C17:C19"/>
    <mergeCell ref="B20:B22"/>
    <mergeCell ref="C20:C22"/>
    <mergeCell ref="A48:A81"/>
    <mergeCell ref="A85:A114"/>
    <mergeCell ref="B85:B87"/>
    <mergeCell ref="C85:C87"/>
    <mergeCell ref="B88:B90"/>
    <mergeCell ref="C88:C90"/>
    <mergeCell ref="B32:B34"/>
    <mergeCell ref="C32:C34"/>
    <mergeCell ref="B35:B37"/>
    <mergeCell ref="C35:C37"/>
    <mergeCell ref="B38:B40"/>
    <mergeCell ref="C38:C40"/>
    <mergeCell ref="A2:A46"/>
    <mergeCell ref="B2:B4"/>
    <mergeCell ref="C2:C4"/>
    <mergeCell ref="B5:B7"/>
    <mergeCell ref="C5:C7"/>
    <mergeCell ref="B8:B10"/>
    <mergeCell ref="B23:B25"/>
    <mergeCell ref="C23:C25"/>
    <mergeCell ref="B26:B28"/>
    <mergeCell ref="C26:C28"/>
    <mergeCell ref="B29:B31"/>
    <mergeCell ref="C29:C31"/>
    <mergeCell ref="C112:C114"/>
    <mergeCell ref="D128:D129"/>
    <mergeCell ref="B130:B131"/>
    <mergeCell ref="C130:C131"/>
    <mergeCell ref="D130:D131"/>
    <mergeCell ref="B132:B133"/>
    <mergeCell ref="C132:C133"/>
    <mergeCell ref="D132:D133"/>
    <mergeCell ref="D122:D123"/>
    <mergeCell ref="B124:B125"/>
    <mergeCell ref="D112:D114"/>
    <mergeCell ref="C124:C125"/>
    <mergeCell ref="D124:D125"/>
    <mergeCell ref="B126:B127"/>
    <mergeCell ref="C126:C127"/>
    <mergeCell ref="D126:D127"/>
    <mergeCell ref="D2:D4"/>
    <mergeCell ref="D5:D7"/>
    <mergeCell ref="D44:D46"/>
    <mergeCell ref="D41:D43"/>
    <mergeCell ref="D38:D40"/>
    <mergeCell ref="D35:D37"/>
    <mergeCell ref="D32:D34"/>
    <mergeCell ref="D29:D31"/>
    <mergeCell ref="D26:D28"/>
    <mergeCell ref="D23:D25"/>
    <mergeCell ref="D20:D22"/>
    <mergeCell ref="D17:D19"/>
    <mergeCell ref="D14:D16"/>
    <mergeCell ref="D8:D10"/>
    <mergeCell ref="D11:D13"/>
    <mergeCell ref="D48:D50"/>
    <mergeCell ref="D51:D53"/>
    <mergeCell ref="D54:D56"/>
    <mergeCell ref="D57:D59"/>
    <mergeCell ref="D60:D62"/>
    <mergeCell ref="D63:D65"/>
    <mergeCell ref="D66:D68"/>
    <mergeCell ref="D69:D71"/>
    <mergeCell ref="D72:D74"/>
    <mergeCell ref="D269:D271"/>
    <mergeCell ref="D272:D274"/>
    <mergeCell ref="D275:D277"/>
    <mergeCell ref="D278:D280"/>
    <mergeCell ref="D281:D283"/>
    <mergeCell ref="D284:D286"/>
    <mergeCell ref="D287:D289"/>
    <mergeCell ref="D290:D292"/>
    <mergeCell ref="D75:D77"/>
    <mergeCell ref="D78:D80"/>
    <mergeCell ref="D81:D83"/>
    <mergeCell ref="D109:D111"/>
    <mergeCell ref="D106:D108"/>
    <mergeCell ref="D103:D105"/>
    <mergeCell ref="D100:D102"/>
    <mergeCell ref="D97:D99"/>
    <mergeCell ref="D94:D96"/>
    <mergeCell ref="D91:D93"/>
    <mergeCell ref="D85:D87"/>
    <mergeCell ref="D88:D90"/>
    <mergeCell ref="D116:D117"/>
    <mergeCell ref="D118:D119"/>
    <mergeCell ref="D120:D121"/>
    <mergeCell ref="D138:D139"/>
    <mergeCell ref="D293:D295"/>
    <mergeCell ref="D296:D298"/>
    <mergeCell ref="D299:D301"/>
    <mergeCell ref="D302:D304"/>
    <mergeCell ref="D305:D307"/>
    <mergeCell ref="D308:D310"/>
    <mergeCell ref="D311:D313"/>
    <mergeCell ref="C293:C295"/>
    <mergeCell ref="C296:C298"/>
    <mergeCell ref="C299:C301"/>
    <mergeCell ref="C302:C304"/>
    <mergeCell ref="C305:C307"/>
    <mergeCell ref="C308:C310"/>
    <mergeCell ref="C190:C196"/>
    <mergeCell ref="B190:B196"/>
    <mergeCell ref="A269:A313"/>
    <mergeCell ref="C311:C313"/>
    <mergeCell ref="B272:B274"/>
    <mergeCell ref="B275:B277"/>
    <mergeCell ref="B278:B280"/>
    <mergeCell ref="B281:B283"/>
    <mergeCell ref="B284:B286"/>
    <mergeCell ref="B287:B289"/>
    <mergeCell ref="B290:B292"/>
    <mergeCell ref="B293:B295"/>
    <mergeCell ref="B296:B298"/>
    <mergeCell ref="B299:B301"/>
    <mergeCell ref="B302:B304"/>
    <mergeCell ref="B305:B307"/>
    <mergeCell ref="B308:B310"/>
    <mergeCell ref="B311:B313"/>
    <mergeCell ref="B269:B271"/>
    <mergeCell ref="C269:C271"/>
    <mergeCell ref="C272:C274"/>
    <mergeCell ref="C275:C277"/>
    <mergeCell ref="C278:C280"/>
    <mergeCell ref="C281:C283"/>
    <mergeCell ref="C327:C329"/>
    <mergeCell ref="B330:B332"/>
    <mergeCell ref="C330:C332"/>
    <mergeCell ref="B333:B335"/>
    <mergeCell ref="C333:C335"/>
    <mergeCell ref="B336:B338"/>
    <mergeCell ref="C336:C338"/>
    <mergeCell ref="C230:C237"/>
    <mergeCell ref="B230:B237"/>
    <mergeCell ref="C238:C245"/>
    <mergeCell ref="B238:B245"/>
    <mergeCell ref="C246:C253"/>
    <mergeCell ref="B246:B253"/>
    <mergeCell ref="C284:C286"/>
    <mergeCell ref="C287:C289"/>
    <mergeCell ref="C290:C292"/>
    <mergeCell ref="B354:B356"/>
    <mergeCell ref="C357:C359"/>
    <mergeCell ref="A315:A359"/>
    <mergeCell ref="B357:B359"/>
    <mergeCell ref="C348:C350"/>
    <mergeCell ref="C351:C353"/>
    <mergeCell ref="C354:C356"/>
    <mergeCell ref="B345:B347"/>
    <mergeCell ref="B348:B350"/>
    <mergeCell ref="B351:B353"/>
    <mergeCell ref="B339:B341"/>
    <mergeCell ref="C339:C341"/>
    <mergeCell ref="B342:B344"/>
    <mergeCell ref="C342:C344"/>
    <mergeCell ref="C345:C347"/>
    <mergeCell ref="B315:B317"/>
    <mergeCell ref="C315:C317"/>
    <mergeCell ref="B318:B320"/>
    <mergeCell ref="C318:C320"/>
    <mergeCell ref="B321:B323"/>
    <mergeCell ref="C321:C323"/>
    <mergeCell ref="B324:B326"/>
    <mergeCell ref="C324:C326"/>
    <mergeCell ref="B327:B329"/>
  </mergeCells>
  <phoneticPr fontId="9" type="noConversion"/>
  <conditionalFormatting sqref="C218:E218 D219:D222 C230:E230 C238:E238 C246:E246 C254:E254 C261:E261">
    <cfRule type="containsBlanks" dxfId="13" priority="5">
      <formula>LEN(TRIM(C218))=0</formula>
    </cfRule>
  </conditionalFormatting>
  <conditionalFormatting sqref="D205:E210 D224:E229 D255:E260 D262:E267">
    <cfRule type="containsBlanks" dxfId="12" priority="3">
      <formula>LEN(TRIM(D205))=0</formula>
    </cfRule>
  </conditionalFormatting>
  <conditionalFormatting sqref="H182:I184 C182:E190 I185 H185:H186 H187:I192 D191:E203 I193:I200 H193:H230 C197 C204:E204 C211:E211 D212:D217 E212:E222 I216:I230 C223:E223 D231:E237 H231:I267 D239:E245 D247:E253">
    <cfRule type="containsBlanks" dxfId="11" priority="4">
      <formula>LEN(TRIM(C182))=0</formula>
    </cfRule>
  </conditionalFormatting>
  <conditionalFormatting sqref="I202 I204:I205 I207:I209 I211 I213:I214">
    <cfRule type="containsBlanks" dxfId="10" priority="1">
      <formula>LEN(TRIM(I202))=0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FD42F-9D82-464D-92D3-A917D92FB71B}">
  <dimension ref="A1:W232343"/>
  <sheetViews>
    <sheetView zoomScale="68" zoomScaleNormal="70" workbookViewId="0">
      <pane xSplit="5" ySplit="2" topLeftCell="F3" activePane="bottomRight" state="frozen"/>
      <selection pane="topRight" activeCell="D1" sqref="D1"/>
      <selection pane="bottomLeft" activeCell="A3" sqref="A3"/>
      <selection pane="bottomRight" activeCell="D37" sqref="D37"/>
    </sheetView>
  </sheetViews>
  <sheetFormatPr baseColWidth="10" defaultColWidth="12.5" defaultRowHeight="16.5" customHeight="1" x14ac:dyDescent="0.2"/>
  <cols>
    <col min="1" max="1" width="24.6640625" style="146" customWidth="1"/>
    <col min="2" max="2" width="8.1640625" style="457" customWidth="1"/>
    <col min="3" max="3" width="32.5" style="146" bestFit="1" customWidth="1"/>
    <col min="4" max="4" width="36.5" style="152" customWidth="1"/>
    <col min="5" max="5" width="15.33203125" style="147" customWidth="1"/>
    <col min="6" max="6" width="10.5" style="147" customWidth="1"/>
    <col min="7" max="7" width="10.5" style="148" customWidth="1"/>
    <col min="8" max="8" width="15.6640625" style="147" customWidth="1"/>
    <col min="9" max="10" width="15.6640625" style="148" customWidth="1"/>
    <col min="11" max="11" width="56" style="149" customWidth="1"/>
    <col min="12" max="12" width="9.6640625" style="353" customWidth="1"/>
    <col min="13" max="13" width="15.83203125" style="295" customWidth="1"/>
    <col min="14" max="14" width="16" style="149" customWidth="1"/>
    <col min="15" max="15" width="22.1640625" style="149" bestFit="1" customWidth="1"/>
    <col min="16" max="16" width="11.33203125" style="150" bestFit="1" customWidth="1"/>
    <col min="17" max="17" width="44.83203125" style="149" customWidth="1"/>
    <col min="18" max="18" width="16.5" style="355" bestFit="1" customWidth="1"/>
    <col min="19" max="19" width="8.5" style="151" customWidth="1"/>
    <col min="20" max="20" width="15.6640625" style="295" customWidth="1"/>
    <col min="21" max="21" width="9.1640625" style="149" bestFit="1" customWidth="1"/>
    <col min="22" max="22" width="20.1640625" style="149" bestFit="1" customWidth="1"/>
    <col min="23" max="23" width="39.6640625" style="149" bestFit="1" customWidth="1"/>
  </cols>
  <sheetData>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 spans="1:23" s="131" customFormat="1" ht="16" x14ac:dyDescent="0.2">
      <c r="A1" s="702" t="s">
        <v>1519</v>
      </c>
      <c r="B1" s="700" t="s">
        <v>1520</v>
      </c>
      <c r="C1" s="702" t="s">
        <v>1521</v>
      </c>
      <c r="D1" s="702" t="s">
        <v>1522</v>
      </c>
      <c r="E1" s="702" t="s">
        <v>1523</v>
      </c>
      <c r="F1" s="711" t="s">
        <v>1524</v>
      </c>
      <c r="H1" s="711" t="s">
        <v>1496</v>
      </c>
      <c r="K1" s="713" t="s">
        <v>1525</v>
      </c>
      <c r="L1" s="711" t="s">
        <v>1526</v>
      </c>
      <c r="O1" s="702" t="s">
        <v>1527</v>
      </c>
      <c r="Q1" s="713" t="s">
        <v>1528</v>
      </c>
      <c r="R1" s="710" t="s">
        <v>1529</v>
      </c>
      <c r="S1" s="714" t="s">
        <v>1530</v>
      </c>
      <c r="V1" s="702" t="s">
        <v>1531</v>
      </c>
      <c r="W1" s="702" t="s">
        <v>1532</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 spans="1:23" s="131" customFormat="1" ht="34" x14ac:dyDescent="0.2">
      <c r="F2" s="132" t="s">
        <v>1263</v>
      </c>
      <c r="G2" s="132" t="s">
        <v>1533</v>
      </c>
      <c r="H2" s="132" t="s">
        <v>1534</v>
      </c>
      <c r="I2" s="132" t="s">
        <v>1535</v>
      </c>
      <c r="J2" s="132" t="s">
        <v>1536</v>
      </c>
      <c r="L2" s="495" t="s">
        <v>1537</v>
      </c>
      <c r="M2" s="346" t="s">
        <v>1538</v>
      </c>
      <c r="N2" s="132" t="s">
        <v>1539</v>
      </c>
      <c r="P2" s="129" t="s">
        <v>1540</v>
      </c>
      <c r="S2" s="134" t="s">
        <v>1537</v>
      </c>
      <c r="T2" s="133" t="s">
        <v>1541</v>
      </c>
      <c r="U2" s="135" t="s">
        <v>1539</v>
      </c>
      <c r="W2" s="702" t="s">
        <v>1542</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 spans="1:23" s="140" customFormat="1" ht="51" x14ac:dyDescent="0.2">
      <c r="A3" s="705" t="s">
        <v>1543</v>
      </c>
      <c r="B3" s="458" t="s">
        <v>1544</v>
      </c>
      <c r="C3" s="299" t="s">
        <v>1545</v>
      </c>
      <c r="D3" s="270" t="s">
        <v>24</v>
      </c>
      <c r="E3" s="299" t="s">
        <v>1295</v>
      </c>
      <c r="F3" s="137" t="s">
        <v>1546</v>
      </c>
      <c r="G3" s="138" t="s">
        <v>1547</v>
      </c>
      <c r="H3" s="138" t="s">
        <v>1546</v>
      </c>
      <c r="I3" s="138" t="s">
        <v>1546</v>
      </c>
      <c r="J3" s="138" t="s">
        <v>1547</v>
      </c>
      <c r="K3" s="387" t="s">
        <v>1548</v>
      </c>
      <c r="L3" s="496" t="s">
        <v>1549</v>
      </c>
      <c r="M3" s="388">
        <v>105000</v>
      </c>
      <c r="N3" s="270" t="s">
        <v>1550</v>
      </c>
      <c r="O3" s="270" t="s">
        <v>868</v>
      </c>
      <c r="P3" s="389">
        <v>0.25</v>
      </c>
      <c r="Q3" s="270" t="s">
        <v>1551</v>
      </c>
      <c r="R3" s="390">
        <v>50000</v>
      </c>
      <c r="S3" s="391" t="s">
        <v>1552</v>
      </c>
      <c r="T3" s="392">
        <f>M3*P3</f>
        <v>26250</v>
      </c>
      <c r="U3" s="270" t="s">
        <v>1550</v>
      </c>
      <c r="V3" s="270" t="s">
        <v>993</v>
      </c>
      <c r="W3"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 spans="1:23" s="140" customFormat="1" ht="82.5" customHeight="1" x14ac:dyDescent="0.2">
      <c r="B4" s="458" t="s">
        <v>1553</v>
      </c>
      <c r="C4" s="299" t="s">
        <v>1554</v>
      </c>
      <c r="D4" s="270" t="s">
        <v>1555</v>
      </c>
      <c r="E4" s="299" t="s">
        <v>834</v>
      </c>
      <c r="F4" s="137" t="s">
        <v>1547</v>
      </c>
      <c r="G4" s="138" t="s">
        <v>1547</v>
      </c>
      <c r="H4" s="138" t="s">
        <v>1546</v>
      </c>
      <c r="I4" s="138" t="s">
        <v>1547</v>
      </c>
      <c r="J4" s="138" t="s">
        <v>1547</v>
      </c>
      <c r="K4" s="387" t="s">
        <v>1556</v>
      </c>
      <c r="L4" s="497" t="s">
        <v>1557</v>
      </c>
      <c r="M4" s="388">
        <v>25000</v>
      </c>
      <c r="N4" s="270" t="s">
        <v>1550</v>
      </c>
      <c r="O4" s="270" t="s">
        <v>868</v>
      </c>
      <c r="P4" s="389">
        <v>0.25</v>
      </c>
      <c r="Q4" s="270" t="s">
        <v>1558</v>
      </c>
      <c r="R4" s="390">
        <v>50000</v>
      </c>
      <c r="S4" s="3">
        <v>1</v>
      </c>
      <c r="T4" s="392">
        <f t="shared" ref="T4:T57" si="0">M4*P4</f>
        <v>6250</v>
      </c>
      <c r="U4" s="270" t="s">
        <v>1559</v>
      </c>
      <c r="V4" s="270" t="s">
        <v>993</v>
      </c>
      <c r="W4" s="270" t="s">
        <v>465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 spans="1:23" s="140" customFormat="1" ht="34" x14ac:dyDescent="0.2">
      <c r="B5" s="458" t="s">
        <v>1560</v>
      </c>
      <c r="C5" s="299" t="s">
        <v>1009</v>
      </c>
      <c r="D5" s="299" t="s">
        <v>542</v>
      </c>
      <c r="E5" s="299" t="s">
        <v>846</v>
      </c>
      <c r="F5" s="137" t="s">
        <v>1547</v>
      </c>
      <c r="G5" s="138" t="s">
        <v>1547</v>
      </c>
      <c r="H5" s="138" t="s">
        <v>1547</v>
      </c>
      <c r="I5" s="138" t="s">
        <v>1547</v>
      </c>
      <c r="J5" s="138" t="s">
        <v>1547</v>
      </c>
      <c r="K5" s="387" t="s">
        <v>1561</v>
      </c>
      <c r="L5" s="498" t="s">
        <v>1562</v>
      </c>
      <c r="M5" s="388">
        <v>50000</v>
      </c>
      <c r="N5" s="270" t="s">
        <v>1550</v>
      </c>
      <c r="O5" s="270" t="s">
        <v>868</v>
      </c>
      <c r="P5" s="389">
        <v>0.25</v>
      </c>
      <c r="Q5" s="270" t="s">
        <v>1563</v>
      </c>
      <c r="R5" s="390">
        <v>30000</v>
      </c>
      <c r="S5" s="3">
        <v>1</v>
      </c>
      <c r="T5" s="392">
        <f t="shared" si="0"/>
        <v>12500</v>
      </c>
      <c r="U5" s="270" t="s">
        <v>1559</v>
      </c>
      <c r="V5" s="270" t="s">
        <v>993</v>
      </c>
      <c r="W5" s="270" t="s">
        <v>1564</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 spans="1:23" s="140" customFormat="1" ht="34" x14ac:dyDescent="0.2">
      <c r="B6" s="458" t="s">
        <v>1565</v>
      </c>
      <c r="C6" s="299" t="s">
        <v>1566</v>
      </c>
      <c r="D6" s="299" t="s">
        <v>282</v>
      </c>
      <c r="E6" s="299" t="s">
        <v>1295</v>
      </c>
      <c r="F6" s="137" t="s">
        <v>1546</v>
      </c>
      <c r="G6" s="138" t="s">
        <v>1547</v>
      </c>
      <c r="H6" s="138" t="s">
        <v>1546</v>
      </c>
      <c r="I6" s="138" t="s">
        <v>1546</v>
      </c>
      <c r="J6" s="138" t="s">
        <v>1547</v>
      </c>
      <c r="K6" s="387" t="s">
        <v>1567</v>
      </c>
      <c r="L6" s="499" t="s">
        <v>1568</v>
      </c>
      <c r="M6" s="394">
        <v>33750</v>
      </c>
      <c r="N6" s="270" t="s">
        <v>1550</v>
      </c>
      <c r="O6" s="270" t="s">
        <v>840</v>
      </c>
      <c r="P6" s="389">
        <v>0.25</v>
      </c>
      <c r="Q6" s="270" t="s">
        <v>1569</v>
      </c>
      <c r="R6" s="390">
        <v>6750</v>
      </c>
      <c r="S6" s="395" t="s">
        <v>1570</v>
      </c>
      <c r="T6" s="392">
        <f t="shared" si="0"/>
        <v>8437.5</v>
      </c>
      <c r="U6" s="270" t="s">
        <v>1559</v>
      </c>
      <c r="V6" s="270" t="s">
        <v>868</v>
      </c>
      <c r="W6"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 spans="1:23" s="140" customFormat="1" ht="34" x14ac:dyDescent="0.2">
      <c r="B7" s="458" t="s">
        <v>1571</v>
      </c>
      <c r="C7" s="299" t="s">
        <v>1106</v>
      </c>
      <c r="D7" s="299" t="s">
        <v>1572</v>
      </c>
      <c r="E7" s="299" t="s">
        <v>846</v>
      </c>
      <c r="F7" s="137" t="s">
        <v>1546</v>
      </c>
      <c r="G7" s="138" t="s">
        <v>1547</v>
      </c>
      <c r="H7" s="138" t="s">
        <v>1547</v>
      </c>
      <c r="I7" s="138" t="s">
        <v>1546</v>
      </c>
      <c r="J7" s="138" t="s">
        <v>1546</v>
      </c>
      <c r="K7" s="387" t="s">
        <v>1573</v>
      </c>
      <c r="L7" s="500" t="s">
        <v>1574</v>
      </c>
      <c r="M7" s="347">
        <v>21000</v>
      </c>
      <c r="N7" s="396" t="s">
        <v>1575</v>
      </c>
      <c r="O7" s="270" t="s">
        <v>880</v>
      </c>
      <c r="P7" s="389">
        <v>0.25</v>
      </c>
      <c r="Q7" s="270" t="s">
        <v>1576</v>
      </c>
      <c r="R7" s="354">
        <v>14000</v>
      </c>
      <c r="S7" s="397" t="s">
        <v>1577</v>
      </c>
      <c r="T7" s="392">
        <f t="shared" si="0"/>
        <v>5250</v>
      </c>
      <c r="U7" s="270" t="s">
        <v>1550</v>
      </c>
      <c r="W7"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 spans="1:23" s="140" customFormat="1" ht="51" x14ac:dyDescent="0.2">
      <c r="B8" s="458" t="s">
        <v>1578</v>
      </c>
      <c r="C8" s="299" t="s">
        <v>1579</v>
      </c>
      <c r="D8" s="299" t="s">
        <v>1580</v>
      </c>
      <c r="E8" s="299" t="s">
        <v>1295</v>
      </c>
      <c r="F8" s="137" t="s">
        <v>1547</v>
      </c>
      <c r="G8" s="138" t="s">
        <v>1547</v>
      </c>
      <c r="H8" s="138" t="s">
        <v>1547</v>
      </c>
      <c r="I8" s="138" t="s">
        <v>1547</v>
      </c>
      <c r="J8" s="138" t="s">
        <v>1547</v>
      </c>
      <c r="K8" s="387" t="s">
        <v>1581</v>
      </c>
      <c r="L8" s="471" t="s">
        <v>1552</v>
      </c>
      <c r="M8" s="347">
        <v>15000</v>
      </c>
      <c r="N8" s="396" t="s">
        <v>1575</v>
      </c>
      <c r="O8" s="270" t="s">
        <v>880</v>
      </c>
      <c r="P8" s="389">
        <v>0.25</v>
      </c>
      <c r="Q8" s="270" t="s">
        <v>1582</v>
      </c>
      <c r="R8" s="303">
        <v>10000</v>
      </c>
      <c r="S8" s="397" t="s">
        <v>1583</v>
      </c>
      <c r="T8" s="392">
        <f t="shared" si="0"/>
        <v>3750</v>
      </c>
      <c r="U8" s="270" t="s">
        <v>1575</v>
      </c>
      <c r="W8"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 spans="1:23" s="140" customFormat="1" ht="51" x14ac:dyDescent="0.2">
      <c r="B9" s="458" t="s">
        <v>1584</v>
      </c>
      <c r="C9" s="299" t="s">
        <v>1585</v>
      </c>
      <c r="D9" s="456" t="s">
        <v>1586</v>
      </c>
      <c r="E9" s="299" t="s">
        <v>846</v>
      </c>
      <c r="F9" s="137" t="s">
        <v>1546</v>
      </c>
      <c r="G9" s="138" t="s">
        <v>1547</v>
      </c>
      <c r="H9" s="138" t="s">
        <v>1546</v>
      </c>
      <c r="I9" s="138" t="s">
        <v>1546</v>
      </c>
      <c r="J9" s="138" t="s">
        <v>1547</v>
      </c>
      <c r="K9" s="387" t="s">
        <v>1587</v>
      </c>
      <c r="L9" s="471" t="s">
        <v>1552</v>
      </c>
      <c r="M9" s="337">
        <v>12500</v>
      </c>
      <c r="N9" s="270" t="s">
        <v>1550</v>
      </c>
      <c r="O9" s="270" t="s">
        <v>868</v>
      </c>
      <c r="P9" s="389">
        <v>0.25</v>
      </c>
      <c r="Q9" s="270" t="s">
        <v>1588</v>
      </c>
      <c r="R9" s="303">
        <v>10000</v>
      </c>
      <c r="S9" s="397" t="s">
        <v>1583</v>
      </c>
      <c r="T9" s="392">
        <f t="shared" si="0"/>
        <v>3125</v>
      </c>
      <c r="U9" s="269" t="s">
        <v>1559</v>
      </c>
      <c r="V9" s="269" t="s">
        <v>993</v>
      </c>
      <c r="W9"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 spans="1:23" s="140" customFormat="1" ht="34" x14ac:dyDescent="0.2">
      <c r="B10" s="459" t="s">
        <v>1589</v>
      </c>
      <c r="C10" s="299" t="s">
        <v>1251</v>
      </c>
      <c r="D10" s="270" t="s">
        <v>376</v>
      </c>
      <c r="E10" s="299" t="s">
        <v>846</v>
      </c>
      <c r="F10" s="137" t="s">
        <v>1547</v>
      </c>
      <c r="G10" s="138" t="s">
        <v>1546</v>
      </c>
      <c r="H10" s="138" t="s">
        <v>1547</v>
      </c>
      <c r="I10" s="138" t="s">
        <v>1547</v>
      </c>
      <c r="J10" s="138" t="s">
        <v>1546</v>
      </c>
      <c r="K10" s="387" t="s">
        <v>1590</v>
      </c>
      <c r="L10" s="471" t="s">
        <v>1552</v>
      </c>
      <c r="M10" s="348">
        <v>21000</v>
      </c>
      <c r="N10" s="270" t="s">
        <v>1550</v>
      </c>
      <c r="O10" s="270" t="s">
        <v>868</v>
      </c>
      <c r="P10" s="389">
        <v>0.25</v>
      </c>
      <c r="Q10" s="270" t="s">
        <v>1591</v>
      </c>
      <c r="R10" s="390">
        <v>10000</v>
      </c>
      <c r="T10" s="392">
        <f>M10*P10</f>
        <v>5250</v>
      </c>
      <c r="U10" s="270" t="s">
        <v>1550</v>
      </c>
      <c r="W10"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 spans="1:23" s="140" customFormat="1" ht="51" x14ac:dyDescent="0.2">
      <c r="A11" s="448" t="s">
        <v>1592</v>
      </c>
      <c r="B11" s="447" t="s">
        <v>1593</v>
      </c>
      <c r="C11" s="452" t="s">
        <v>904</v>
      </c>
      <c r="D11" s="269" t="s">
        <v>151</v>
      </c>
      <c r="E11" s="269" t="s">
        <v>834</v>
      </c>
      <c r="F11" s="142" t="s">
        <v>1547</v>
      </c>
      <c r="G11" s="142" t="s">
        <v>1547</v>
      </c>
      <c r="H11" s="142" t="s">
        <v>1547</v>
      </c>
      <c r="I11" s="142" t="s">
        <v>1547</v>
      </c>
      <c r="J11" s="142" t="s">
        <v>1546</v>
      </c>
      <c r="K11" s="398" t="s">
        <v>1594</v>
      </c>
      <c r="L11" s="351" t="s">
        <v>1595</v>
      </c>
      <c r="M11" s="349">
        <v>135000</v>
      </c>
      <c r="N11" s="269" t="s">
        <v>1575</v>
      </c>
      <c r="O11" s="269" t="s">
        <v>880</v>
      </c>
      <c r="P11" s="399">
        <v>0.25</v>
      </c>
      <c r="Q11" s="269" t="s">
        <v>1596</v>
      </c>
      <c r="R11" s="400">
        <v>20000</v>
      </c>
      <c r="S11" s="362" t="s">
        <v>1583</v>
      </c>
      <c r="T11" s="392">
        <f t="shared" si="0"/>
        <v>33750</v>
      </c>
      <c r="U11" s="269" t="s">
        <v>1575</v>
      </c>
      <c r="V11" s="269" t="s">
        <v>868</v>
      </c>
      <c r="W11"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 spans="1:23" s="140" customFormat="1" ht="51" x14ac:dyDescent="0.2">
      <c r="B12" s="447" t="s">
        <v>1597</v>
      </c>
      <c r="C12" s="453" t="s">
        <v>1126</v>
      </c>
      <c r="D12" s="269" t="s">
        <v>598</v>
      </c>
      <c r="E12" s="402" t="s">
        <v>834</v>
      </c>
      <c r="F12" s="143" t="s">
        <v>1546</v>
      </c>
      <c r="G12" s="142" t="s">
        <v>1547</v>
      </c>
      <c r="H12" s="142" t="s">
        <v>1547</v>
      </c>
      <c r="I12" s="142" t="s">
        <v>1546</v>
      </c>
      <c r="J12" s="142" t="s">
        <v>1546</v>
      </c>
      <c r="K12" s="398" t="s">
        <v>1598</v>
      </c>
      <c r="L12" s="498" t="s">
        <v>1562</v>
      </c>
      <c r="M12" s="350">
        <v>25000</v>
      </c>
      <c r="N12" s="269" t="s">
        <v>1550</v>
      </c>
      <c r="O12" s="269" t="s">
        <v>868</v>
      </c>
      <c r="P12" s="399">
        <v>0.25</v>
      </c>
      <c r="Q12" s="269" t="s">
        <v>1599</v>
      </c>
      <c r="R12" s="400">
        <v>30000</v>
      </c>
      <c r="S12" s="357">
        <v>1</v>
      </c>
      <c r="T12" s="392">
        <f t="shared" si="0"/>
        <v>6250</v>
      </c>
      <c r="U12" s="269" t="s">
        <v>1559</v>
      </c>
      <c r="V12" s="269" t="s">
        <v>993</v>
      </c>
      <c r="W12"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 spans="1:23" s="140" customFormat="1" ht="51" x14ac:dyDescent="0.2">
      <c r="B13" s="447" t="s">
        <v>1600</v>
      </c>
      <c r="C13" s="453" t="s">
        <v>845</v>
      </c>
      <c r="D13" s="269" t="s">
        <v>1601</v>
      </c>
      <c r="E13" s="402" t="s">
        <v>1295</v>
      </c>
      <c r="F13" s="143" t="s">
        <v>1547</v>
      </c>
      <c r="G13" s="142" t="s">
        <v>1547</v>
      </c>
      <c r="H13" s="142" t="s">
        <v>1547</v>
      </c>
      <c r="I13" s="142" t="s">
        <v>1546</v>
      </c>
      <c r="J13" s="142" t="s">
        <v>1546</v>
      </c>
      <c r="K13" s="398" t="s">
        <v>1602</v>
      </c>
      <c r="L13" s="351" t="s">
        <v>1562</v>
      </c>
      <c r="M13" s="350">
        <v>105000</v>
      </c>
      <c r="N13" s="269" t="s">
        <v>1550</v>
      </c>
      <c r="O13" s="269" t="s">
        <v>840</v>
      </c>
      <c r="P13" s="399">
        <v>0.25</v>
      </c>
      <c r="Q13" s="269" t="s">
        <v>1603</v>
      </c>
      <c r="R13" s="400">
        <v>20000</v>
      </c>
      <c r="S13" s="362" t="s">
        <v>1604</v>
      </c>
      <c r="T13" s="392">
        <f t="shared" si="0"/>
        <v>26250</v>
      </c>
      <c r="U13" s="269" t="s">
        <v>1550</v>
      </c>
      <c r="V13" s="269" t="s">
        <v>868</v>
      </c>
      <c r="W13"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 spans="1:23" s="140" customFormat="1" ht="51" x14ac:dyDescent="0.2">
      <c r="B14" s="447" t="s">
        <v>1605</v>
      </c>
      <c r="C14" s="453" t="s">
        <v>851</v>
      </c>
      <c r="D14" s="269" t="s">
        <v>476</v>
      </c>
      <c r="E14" s="402" t="s">
        <v>834</v>
      </c>
      <c r="F14" s="143" t="s">
        <v>1547</v>
      </c>
      <c r="G14" s="142" t="s">
        <v>1546</v>
      </c>
      <c r="H14" s="142" t="s">
        <v>1547</v>
      </c>
      <c r="I14" s="142" t="s">
        <v>1547</v>
      </c>
      <c r="J14" s="142" t="s">
        <v>1546</v>
      </c>
      <c r="K14" s="398" t="s">
        <v>1606</v>
      </c>
      <c r="L14" s="351" t="s">
        <v>1607</v>
      </c>
      <c r="M14" s="350">
        <v>112500</v>
      </c>
      <c r="N14" s="269" t="s">
        <v>1550</v>
      </c>
      <c r="O14" s="269" t="s">
        <v>840</v>
      </c>
      <c r="P14" s="399">
        <v>0.25</v>
      </c>
      <c r="Q14" s="269" t="s">
        <v>1608</v>
      </c>
      <c r="R14" s="400">
        <v>15000</v>
      </c>
      <c r="S14" s="362" t="s">
        <v>1595</v>
      </c>
      <c r="T14" s="392">
        <f t="shared" si="0"/>
        <v>28125</v>
      </c>
      <c r="U14" s="269" t="s">
        <v>1550</v>
      </c>
      <c r="V14" s="269" t="s">
        <v>868</v>
      </c>
      <c r="W14"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 spans="1:23" s="140" customFormat="1" ht="34" x14ac:dyDescent="0.2">
      <c r="B15" s="447" t="s">
        <v>1609</v>
      </c>
      <c r="C15" s="453" t="s">
        <v>1610</v>
      </c>
      <c r="D15" s="269" t="s">
        <v>1611</v>
      </c>
      <c r="E15" s="402" t="s">
        <v>834</v>
      </c>
      <c r="F15" s="143" t="s">
        <v>1546</v>
      </c>
      <c r="G15" s="142" t="s">
        <v>1547</v>
      </c>
      <c r="H15" s="142" t="s">
        <v>1547</v>
      </c>
      <c r="I15" s="142" t="s">
        <v>1547</v>
      </c>
      <c r="J15" s="142" t="s">
        <v>1547</v>
      </c>
      <c r="K15" s="398" t="s">
        <v>1612</v>
      </c>
      <c r="L15" s="351" t="s">
        <v>1613</v>
      </c>
      <c r="M15" s="350">
        <v>525000</v>
      </c>
      <c r="N15" s="269" t="s">
        <v>1575</v>
      </c>
      <c r="O15" s="269" t="s">
        <v>840</v>
      </c>
      <c r="P15" s="399">
        <v>0.25</v>
      </c>
      <c r="Q15" s="269" t="s">
        <v>1614</v>
      </c>
      <c r="R15" s="400">
        <v>50000</v>
      </c>
      <c r="S15" s="362" t="s">
        <v>1615</v>
      </c>
      <c r="T15" s="392">
        <f t="shared" si="0"/>
        <v>131250</v>
      </c>
      <c r="U15" s="269" t="s">
        <v>1550</v>
      </c>
      <c r="V15" s="269" t="s">
        <v>868</v>
      </c>
      <c r="W15"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 spans="1:23" s="140" customFormat="1" ht="34" hidden="1" x14ac:dyDescent="0.2">
      <c r="B16" s="447" t="s">
        <v>1616</v>
      </c>
      <c r="C16" s="453" t="s">
        <v>869</v>
      </c>
      <c r="D16" s="269" t="s">
        <v>1617</v>
      </c>
      <c r="E16" s="402" t="s">
        <v>834</v>
      </c>
      <c r="F16" s="143" t="s">
        <v>1546</v>
      </c>
      <c r="G16" s="142" t="s">
        <v>1547</v>
      </c>
      <c r="H16" s="142" t="s">
        <v>1547</v>
      </c>
      <c r="I16" s="142" t="s">
        <v>1547</v>
      </c>
      <c r="J16" s="142" t="s">
        <v>1547</v>
      </c>
      <c r="K16" s="398" t="s">
        <v>1618</v>
      </c>
      <c r="N16" s="269" t="s">
        <v>1559</v>
      </c>
      <c r="P16" s="399">
        <v>0.25</v>
      </c>
      <c r="Q16" s="269" t="s">
        <v>1619</v>
      </c>
      <c r="T16" s="392">
        <f t="shared" si="0"/>
        <v>0</v>
      </c>
      <c r="U16" s="269" t="s">
        <v>1559</v>
      </c>
      <c r="W16" s="270"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 spans="1:23" s="140" customFormat="1" ht="68" x14ac:dyDescent="0.2">
      <c r="B17" s="447" t="s">
        <v>1620</v>
      </c>
      <c r="C17" s="453" t="s">
        <v>981</v>
      </c>
      <c r="D17" s="269" t="s">
        <v>292</v>
      </c>
      <c r="E17" s="402" t="s">
        <v>834</v>
      </c>
      <c r="F17" s="143" t="s">
        <v>1547</v>
      </c>
      <c r="G17" s="142" t="s">
        <v>1547</v>
      </c>
      <c r="H17" s="142" t="s">
        <v>1547</v>
      </c>
      <c r="I17" s="142" t="s">
        <v>1547</v>
      </c>
      <c r="J17" s="142" t="s">
        <v>1546</v>
      </c>
      <c r="K17" s="398" t="s">
        <v>1621</v>
      </c>
      <c r="L17" s="501" t="s">
        <v>1549</v>
      </c>
      <c r="M17" s="350">
        <v>37500</v>
      </c>
      <c r="N17" s="269" t="s">
        <v>1550</v>
      </c>
      <c r="O17" s="269" t="s">
        <v>840</v>
      </c>
      <c r="P17" s="399">
        <v>0.25</v>
      </c>
      <c r="Q17" s="269" t="s">
        <v>1622</v>
      </c>
      <c r="R17" s="400">
        <v>12000</v>
      </c>
      <c r="S17" s="403" t="s">
        <v>1623</v>
      </c>
      <c r="T17" s="392">
        <f t="shared" si="0"/>
        <v>9375</v>
      </c>
      <c r="U17" s="269" t="s">
        <v>1559</v>
      </c>
      <c r="V17" s="269" t="s">
        <v>868</v>
      </c>
      <c r="W17"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 spans="1:23" s="140" customFormat="1" ht="51" x14ac:dyDescent="0.2">
      <c r="B18" s="447" t="s">
        <v>1624</v>
      </c>
      <c r="C18" s="452" t="s">
        <v>1625</v>
      </c>
      <c r="D18" s="269" t="s">
        <v>452</v>
      </c>
      <c r="E18" s="402" t="s">
        <v>834</v>
      </c>
      <c r="F18" s="143" t="s">
        <v>1547</v>
      </c>
      <c r="G18" s="142" t="s">
        <v>1547</v>
      </c>
      <c r="H18" s="142" t="s">
        <v>1547</v>
      </c>
      <c r="I18" s="142" t="s">
        <v>1547</v>
      </c>
      <c r="J18" s="142" t="s">
        <v>1546</v>
      </c>
      <c r="K18" s="398" t="s">
        <v>1626</v>
      </c>
      <c r="L18" s="351" t="s">
        <v>1627</v>
      </c>
      <c r="M18" s="350">
        <v>70000</v>
      </c>
      <c r="N18" s="269" t="s">
        <v>1550</v>
      </c>
      <c r="O18" s="269" t="s">
        <v>840</v>
      </c>
      <c r="P18" s="399">
        <v>0.25</v>
      </c>
      <c r="Q18" s="269" t="s">
        <v>1628</v>
      </c>
      <c r="R18" s="400">
        <v>15000</v>
      </c>
      <c r="S18" s="362">
        <v>4</v>
      </c>
      <c r="T18" s="392">
        <f t="shared" si="0"/>
        <v>17500</v>
      </c>
      <c r="U18" s="269" t="s">
        <v>1550</v>
      </c>
      <c r="V18" s="269" t="s">
        <v>868</v>
      </c>
      <c r="W18"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 spans="1:23" s="140" customFormat="1" ht="68" x14ac:dyDescent="0.2">
      <c r="B19" s="447" t="s">
        <v>1629</v>
      </c>
      <c r="C19" s="453" t="s">
        <v>1630</v>
      </c>
      <c r="D19" s="269" t="s">
        <v>576</v>
      </c>
      <c r="E19" s="402" t="s">
        <v>834</v>
      </c>
      <c r="F19" s="143" t="s">
        <v>1546</v>
      </c>
      <c r="G19" s="142" t="s">
        <v>1547</v>
      </c>
      <c r="H19" s="142" t="s">
        <v>1547</v>
      </c>
      <c r="I19" s="142" t="s">
        <v>1546</v>
      </c>
      <c r="J19" s="142" t="s">
        <v>1546</v>
      </c>
      <c r="K19" s="398" t="s">
        <v>1631</v>
      </c>
      <c r="L19" s="498" t="s">
        <v>1562</v>
      </c>
      <c r="M19" s="350">
        <v>375000</v>
      </c>
      <c r="N19" s="269" t="s">
        <v>1575</v>
      </c>
      <c r="O19" s="269" t="s">
        <v>840</v>
      </c>
      <c r="P19" s="399">
        <v>0.25</v>
      </c>
      <c r="Q19" s="269" t="s">
        <v>1632</v>
      </c>
      <c r="R19" s="400">
        <v>10000</v>
      </c>
      <c r="S19" s="358" t="s">
        <v>1633</v>
      </c>
      <c r="T19" s="392">
        <f t="shared" si="0"/>
        <v>93750</v>
      </c>
      <c r="U19" s="269" t="s">
        <v>1550</v>
      </c>
      <c r="V19" s="269" t="s">
        <v>868</v>
      </c>
      <c r="W19"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 spans="1:23" s="140" customFormat="1" ht="51" x14ac:dyDescent="0.2">
      <c r="B20" s="447" t="s">
        <v>1634</v>
      </c>
      <c r="C20" s="453" t="s">
        <v>937</v>
      </c>
      <c r="D20" s="269" t="s">
        <v>527</v>
      </c>
      <c r="E20" s="402" t="s">
        <v>834</v>
      </c>
      <c r="F20" s="143" t="s">
        <v>1546</v>
      </c>
      <c r="G20" s="142" t="s">
        <v>1547</v>
      </c>
      <c r="H20" s="142" t="s">
        <v>1547</v>
      </c>
      <c r="I20" s="142" t="s">
        <v>1547</v>
      </c>
      <c r="J20" s="142" t="s">
        <v>1546</v>
      </c>
      <c r="K20" s="398" t="s">
        <v>1635</v>
      </c>
      <c r="L20" s="498" t="s">
        <v>1636</v>
      </c>
      <c r="M20" s="350">
        <v>3500000</v>
      </c>
      <c r="N20" s="269" t="s">
        <v>1575</v>
      </c>
      <c r="O20" s="269" t="s">
        <v>840</v>
      </c>
      <c r="P20" s="399">
        <v>0.25</v>
      </c>
      <c r="Q20" s="269" t="s">
        <v>1637</v>
      </c>
      <c r="R20" s="400">
        <v>10000</v>
      </c>
      <c r="S20" s="357" t="s">
        <v>1638</v>
      </c>
      <c r="T20" s="392">
        <f t="shared" si="0"/>
        <v>875000</v>
      </c>
      <c r="U20" s="269" t="s">
        <v>1550</v>
      </c>
      <c r="V20" s="269" t="s">
        <v>868</v>
      </c>
      <c r="W20"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 spans="1:23" s="526" customFormat="1" ht="34" x14ac:dyDescent="0.2">
      <c r="B21" s="515" t="s">
        <v>1639</v>
      </c>
      <c r="C21" s="516" t="s">
        <v>1009</v>
      </c>
      <c r="D21" s="517" t="s">
        <v>1640</v>
      </c>
      <c r="E21" s="518" t="s">
        <v>846</v>
      </c>
      <c r="F21" s="518" t="s">
        <v>1546</v>
      </c>
      <c r="G21" s="517" t="s">
        <v>1547</v>
      </c>
      <c r="H21" s="517" t="s">
        <v>1547</v>
      </c>
      <c r="I21" s="517" t="s">
        <v>1547</v>
      </c>
      <c r="J21" s="517" t="s">
        <v>1547</v>
      </c>
      <c r="K21" s="519" t="s">
        <v>1641</v>
      </c>
      <c r="L21" s="520" t="s">
        <v>1642</v>
      </c>
      <c r="M21" s="521">
        <v>25000</v>
      </c>
      <c r="N21" s="517" t="s">
        <v>1550</v>
      </c>
      <c r="O21" s="517" t="s">
        <v>840</v>
      </c>
      <c r="P21" s="522">
        <v>0.25</v>
      </c>
      <c r="Q21" s="517" t="s">
        <v>1643</v>
      </c>
      <c r="R21" s="523">
        <v>25000</v>
      </c>
      <c r="S21" s="524" t="s">
        <v>1644</v>
      </c>
      <c r="T21" s="525">
        <f t="shared" si="0"/>
        <v>6250</v>
      </c>
      <c r="U21" s="517" t="s">
        <v>1550</v>
      </c>
      <c r="V21" s="517" t="s">
        <v>868</v>
      </c>
      <c r="W21" s="51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 spans="1:23" s="140" customFormat="1" ht="51" x14ac:dyDescent="0.2">
      <c r="B22" s="447" t="s">
        <v>1645</v>
      </c>
      <c r="C22" s="453" t="s">
        <v>1106</v>
      </c>
      <c r="D22" s="269" t="s">
        <v>1646</v>
      </c>
      <c r="E22" s="402" t="s">
        <v>846</v>
      </c>
      <c r="F22" s="143" t="s">
        <v>1546</v>
      </c>
      <c r="G22" s="142" t="s">
        <v>1547</v>
      </c>
      <c r="H22" s="142" t="s">
        <v>1547</v>
      </c>
      <c r="I22" s="142" t="s">
        <v>1546</v>
      </c>
      <c r="J22" s="142" t="s">
        <v>1546</v>
      </c>
      <c r="K22" s="398" t="s">
        <v>1647</v>
      </c>
      <c r="L22" s="351" t="s">
        <v>1648</v>
      </c>
      <c r="M22" s="404">
        <v>26250</v>
      </c>
      <c r="N22" s="269" t="s">
        <v>1575</v>
      </c>
      <c r="O22" s="269" t="s">
        <v>840</v>
      </c>
      <c r="P22" s="399">
        <v>0.25</v>
      </c>
      <c r="Q22" s="269" t="s">
        <v>1649</v>
      </c>
      <c r="R22" s="356">
        <v>12000</v>
      </c>
      <c r="S22" s="362" t="s">
        <v>1583</v>
      </c>
      <c r="T22" s="392">
        <f t="shared" si="0"/>
        <v>6562.5</v>
      </c>
      <c r="U22" s="269" t="s">
        <v>1550</v>
      </c>
      <c r="V22" s="269" t="s">
        <v>868</v>
      </c>
      <c r="W22"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 spans="1:23" s="140" customFormat="1" ht="51" x14ac:dyDescent="0.2">
      <c r="B23" s="447" t="s">
        <v>1650</v>
      </c>
      <c r="C23" s="453" t="s">
        <v>1651</v>
      </c>
      <c r="D23" s="269" t="s">
        <v>469</v>
      </c>
      <c r="E23" s="402" t="s">
        <v>1295</v>
      </c>
      <c r="F23" s="143" t="s">
        <v>1547</v>
      </c>
      <c r="G23" s="142" t="s">
        <v>1547</v>
      </c>
      <c r="H23" s="142" t="s">
        <v>1547</v>
      </c>
      <c r="I23" s="142" t="s">
        <v>1546</v>
      </c>
      <c r="J23" s="142" t="s">
        <v>1546</v>
      </c>
      <c r="K23" s="398" t="s">
        <v>1652</v>
      </c>
      <c r="L23" s="351" t="s">
        <v>1653</v>
      </c>
      <c r="M23" s="350">
        <v>75000</v>
      </c>
      <c r="N23" s="269" t="s">
        <v>1575</v>
      </c>
      <c r="O23" s="269" t="s">
        <v>840</v>
      </c>
      <c r="P23" s="399">
        <v>0.25</v>
      </c>
      <c r="Q23" s="269" t="s">
        <v>1654</v>
      </c>
      <c r="R23" s="400">
        <v>10000</v>
      </c>
      <c r="S23" s="362" t="s">
        <v>1613</v>
      </c>
      <c r="T23" s="392">
        <f t="shared" si="0"/>
        <v>18750</v>
      </c>
      <c r="U23" s="269" t="s">
        <v>1575</v>
      </c>
      <c r="V23" s="269" t="s">
        <v>868</v>
      </c>
      <c r="W23"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 spans="1:23" s="140" customFormat="1" ht="51" x14ac:dyDescent="0.2">
      <c r="B24" s="447" t="s">
        <v>1655</v>
      </c>
      <c r="C24" s="453" t="s">
        <v>1268</v>
      </c>
      <c r="D24" s="269" t="s">
        <v>274</v>
      </c>
      <c r="E24" s="402" t="s">
        <v>834</v>
      </c>
      <c r="F24" s="143" t="s">
        <v>1547</v>
      </c>
      <c r="G24" s="142" t="s">
        <v>1547</v>
      </c>
      <c r="H24" s="142" t="s">
        <v>1547</v>
      </c>
      <c r="I24" s="142" t="s">
        <v>1547</v>
      </c>
      <c r="J24" s="142" t="s">
        <v>1547</v>
      </c>
      <c r="K24" s="398" t="s">
        <v>1656</v>
      </c>
      <c r="L24" s="501" t="s">
        <v>1562</v>
      </c>
      <c r="M24" s="350">
        <v>42000</v>
      </c>
      <c r="N24" s="269" t="s">
        <v>1550</v>
      </c>
      <c r="O24" s="269" t="s">
        <v>840</v>
      </c>
      <c r="P24" s="399">
        <v>0.25</v>
      </c>
      <c r="Q24" s="269" t="s">
        <v>1657</v>
      </c>
      <c r="R24" s="400">
        <v>15000</v>
      </c>
      <c r="S24" s="403" t="s">
        <v>1623</v>
      </c>
      <c r="T24" s="392">
        <f t="shared" si="0"/>
        <v>10500</v>
      </c>
      <c r="U24" s="269" t="s">
        <v>1559</v>
      </c>
      <c r="V24" s="269" t="s">
        <v>868</v>
      </c>
      <c r="W24"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 spans="1:23" s="445" customFormat="1" ht="51" x14ac:dyDescent="0.2">
      <c r="B25" s="447" t="s">
        <v>1658</v>
      </c>
      <c r="C25" s="454" t="s">
        <v>1625</v>
      </c>
      <c r="D25" s="439" t="s">
        <v>1659</v>
      </c>
      <c r="E25" s="436" t="s">
        <v>834</v>
      </c>
      <c r="F25" s="436" t="s">
        <v>1547</v>
      </c>
      <c r="G25" s="439" t="s">
        <v>1547</v>
      </c>
      <c r="H25" s="439" t="s">
        <v>1547</v>
      </c>
      <c r="I25" s="439" t="s">
        <v>1547</v>
      </c>
      <c r="J25" s="439" t="s">
        <v>1547</v>
      </c>
      <c r="K25" s="437" t="s">
        <v>1660</v>
      </c>
      <c r="L25" s="502" t="s">
        <v>1562</v>
      </c>
      <c r="M25" s="438">
        <v>63000</v>
      </c>
      <c r="N25" s="439" t="s">
        <v>1550</v>
      </c>
      <c r="O25" s="439" t="s">
        <v>840</v>
      </c>
      <c r="P25" s="440">
        <v>0.25</v>
      </c>
      <c r="Q25" s="439" t="s">
        <v>1661</v>
      </c>
      <c r="R25" s="441">
        <v>15000</v>
      </c>
      <c r="S25" s="442" t="s">
        <v>1662</v>
      </c>
      <c r="T25" s="443">
        <v>10000</v>
      </c>
      <c r="U25" s="439" t="s">
        <v>1550</v>
      </c>
      <c r="V25" s="439" t="s">
        <v>868</v>
      </c>
      <c r="W25" s="43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 spans="1:23" s="529" customFormat="1" ht="51" x14ac:dyDescent="0.2">
      <c r="B26" s="511" t="s">
        <v>1663</v>
      </c>
      <c r="C26" s="516" t="s">
        <v>1275</v>
      </c>
      <c r="D26" s="527" t="s">
        <v>794</v>
      </c>
      <c r="E26" s="518" t="s">
        <v>1295</v>
      </c>
      <c r="F26" s="513" t="s">
        <v>1547</v>
      </c>
      <c r="G26" s="512" t="s">
        <v>1547</v>
      </c>
      <c r="H26" s="512" t="s">
        <v>1547</v>
      </c>
      <c r="I26" s="512" t="s">
        <v>1547</v>
      </c>
      <c r="J26" s="512" t="s">
        <v>1547</v>
      </c>
      <c r="K26" s="519" t="s">
        <v>1664</v>
      </c>
      <c r="L26" s="528" t="s">
        <v>1665</v>
      </c>
      <c r="M26" s="521">
        <v>68250</v>
      </c>
      <c r="N26" s="517" t="s">
        <v>1550</v>
      </c>
      <c r="O26" s="517" t="s">
        <v>840</v>
      </c>
      <c r="P26" s="522">
        <v>0.25</v>
      </c>
      <c r="Q26" s="517" t="s">
        <v>1666</v>
      </c>
      <c r="R26" s="523">
        <v>25000</v>
      </c>
      <c r="S26" s="524" t="s">
        <v>1549</v>
      </c>
      <c r="T26" s="525">
        <f>M26*P26</f>
        <v>17062.5</v>
      </c>
      <c r="U26" s="517" t="s">
        <v>1550</v>
      </c>
      <c r="V26" s="517" t="s">
        <v>868</v>
      </c>
      <c r="W26" s="51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 spans="1:23" s="140" customFormat="1" ht="51" x14ac:dyDescent="0.2">
      <c r="B27" s="447" t="s">
        <v>1667</v>
      </c>
      <c r="C27" s="453" t="s">
        <v>1288</v>
      </c>
      <c r="D27" s="269" t="s">
        <v>227</v>
      </c>
      <c r="E27" s="402" t="s">
        <v>834</v>
      </c>
      <c r="F27" s="143" t="s">
        <v>1547</v>
      </c>
      <c r="G27" s="142" t="s">
        <v>1546</v>
      </c>
      <c r="H27" s="142" t="s">
        <v>1547</v>
      </c>
      <c r="I27" s="142" t="s">
        <v>1547</v>
      </c>
      <c r="J27" s="142" t="s">
        <v>1547</v>
      </c>
      <c r="K27" s="398" t="s">
        <v>1668</v>
      </c>
      <c r="L27" s="351" t="s">
        <v>1669</v>
      </c>
      <c r="M27" s="350">
        <v>56000</v>
      </c>
      <c r="N27" s="269" t="s">
        <v>1550</v>
      </c>
      <c r="O27" s="269" t="s">
        <v>840</v>
      </c>
      <c r="P27" s="399">
        <v>0.25</v>
      </c>
      <c r="Q27" s="269" t="s">
        <v>1670</v>
      </c>
      <c r="R27" s="400">
        <v>20000</v>
      </c>
      <c r="S27" s="362" t="s">
        <v>1552</v>
      </c>
      <c r="T27" s="392">
        <f t="shared" si="0"/>
        <v>14000</v>
      </c>
      <c r="U27" s="269" t="s">
        <v>1550</v>
      </c>
      <c r="V27" s="269" t="s">
        <v>868</v>
      </c>
      <c r="W27"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 spans="1:23" s="140" customFormat="1" ht="34" x14ac:dyDescent="0.2">
      <c r="B28" s="447" t="s">
        <v>1671</v>
      </c>
      <c r="C28" s="453" t="s">
        <v>1292</v>
      </c>
      <c r="D28" s="269" t="s">
        <v>133</v>
      </c>
      <c r="E28" s="402" t="s">
        <v>1295</v>
      </c>
      <c r="F28" s="143" t="s">
        <v>1547</v>
      </c>
      <c r="G28" s="142" t="s">
        <v>1547</v>
      </c>
      <c r="H28" s="142" t="s">
        <v>1547</v>
      </c>
      <c r="I28" s="142" t="s">
        <v>1547</v>
      </c>
      <c r="J28" s="142" t="s">
        <v>1547</v>
      </c>
      <c r="K28" s="398" t="s">
        <v>1672</v>
      </c>
      <c r="L28" s="351" t="s">
        <v>1665</v>
      </c>
      <c r="M28" s="350">
        <v>105000</v>
      </c>
      <c r="N28" s="269" t="s">
        <v>1550</v>
      </c>
      <c r="O28" s="269" t="s">
        <v>840</v>
      </c>
      <c r="P28" s="399">
        <v>0.25</v>
      </c>
      <c r="Q28" s="269" t="s">
        <v>1673</v>
      </c>
      <c r="R28" s="400">
        <v>15000</v>
      </c>
      <c r="S28" s="362" t="s">
        <v>1552</v>
      </c>
      <c r="T28" s="392">
        <f t="shared" si="0"/>
        <v>26250</v>
      </c>
      <c r="U28" s="269" t="s">
        <v>1550</v>
      </c>
      <c r="V28" s="269" t="s">
        <v>868</v>
      </c>
      <c r="W28"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 spans="1:23" s="140" customFormat="1" ht="51" x14ac:dyDescent="0.2">
      <c r="B29" s="447" t="s">
        <v>1674</v>
      </c>
      <c r="C29" s="453" t="s">
        <v>1675</v>
      </c>
      <c r="D29" s="269" t="s">
        <v>514</v>
      </c>
      <c r="E29" s="402" t="s">
        <v>846</v>
      </c>
      <c r="F29" s="143" t="s">
        <v>1547</v>
      </c>
      <c r="G29" s="142" t="s">
        <v>1546</v>
      </c>
      <c r="H29" s="142" t="s">
        <v>1547</v>
      </c>
      <c r="I29" s="142" t="s">
        <v>1546</v>
      </c>
      <c r="J29" s="142" t="s">
        <v>1546</v>
      </c>
      <c r="K29" s="398" t="s">
        <v>1676</v>
      </c>
      <c r="L29" s="351" t="s">
        <v>1607</v>
      </c>
      <c r="M29" s="350">
        <v>25000</v>
      </c>
      <c r="N29" s="269" t="s">
        <v>1575</v>
      </c>
      <c r="O29" s="269" t="s">
        <v>840</v>
      </c>
      <c r="P29" s="399">
        <v>0.25</v>
      </c>
      <c r="Q29" s="269" t="s">
        <v>1677</v>
      </c>
      <c r="R29" s="400">
        <v>10000</v>
      </c>
      <c r="S29" s="362" t="s">
        <v>1595</v>
      </c>
      <c r="T29" s="392">
        <f t="shared" si="0"/>
        <v>6250</v>
      </c>
      <c r="U29" s="269" t="s">
        <v>1575</v>
      </c>
      <c r="V29" s="269" t="s">
        <v>868</v>
      </c>
      <c r="W29"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 spans="1:20" s="140" customFormat="1" ht="17" hidden="1" x14ac:dyDescent="0.2">
      <c r="B30" s="447" t="s">
        <v>1678</v>
      </c>
      <c r="T30" s="392">
        <f t="shared" si="0"/>
        <v>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 spans="1:23" s="140" customFormat="1" ht="30.75" customHeight="1" x14ac:dyDescent="0.2">
      <c r="B31" s="447" t="s">
        <v>1679</v>
      </c>
      <c r="C31" s="453" t="s">
        <v>1680</v>
      </c>
      <c r="D31" s="269" t="s">
        <v>1681</v>
      </c>
      <c r="E31" s="402" t="s">
        <v>834</v>
      </c>
      <c r="F31" s="143" t="s">
        <v>1547</v>
      </c>
      <c r="G31" s="142" t="s">
        <v>1547</v>
      </c>
      <c r="H31" s="142" t="s">
        <v>1547</v>
      </c>
      <c r="I31" s="142" t="s">
        <v>1547</v>
      </c>
      <c r="J31" s="142" t="s">
        <v>1546</v>
      </c>
      <c r="K31" s="398" t="s">
        <v>1682</v>
      </c>
      <c r="L31" s="351" t="s">
        <v>1683</v>
      </c>
      <c r="M31" s="350">
        <v>262500</v>
      </c>
      <c r="N31" s="269" t="s">
        <v>1550</v>
      </c>
      <c r="O31" s="269" t="s">
        <v>840</v>
      </c>
      <c r="P31" s="399">
        <v>0.25</v>
      </c>
      <c r="Q31" s="269" t="s">
        <v>1684</v>
      </c>
      <c r="R31" s="400">
        <v>35000</v>
      </c>
      <c r="T31" s="392">
        <f t="shared" si="0"/>
        <v>65625</v>
      </c>
      <c r="U31" s="269" t="s">
        <v>1550</v>
      </c>
      <c r="V31" s="269" t="s">
        <v>868</v>
      </c>
      <c r="W31"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 spans="1:23" s="140" customFormat="1" ht="30.75" customHeight="1" x14ac:dyDescent="0.2">
      <c r="B32" s="447" t="s">
        <v>1685</v>
      </c>
      <c r="C32" s="453" t="s">
        <v>1210</v>
      </c>
      <c r="D32" s="269" t="s">
        <v>367</v>
      </c>
      <c r="E32" s="402" t="s">
        <v>834</v>
      </c>
      <c r="F32" s="143" t="s">
        <v>1547</v>
      </c>
      <c r="G32" s="142" t="s">
        <v>1547</v>
      </c>
      <c r="H32" s="142" t="s">
        <v>1547</v>
      </c>
      <c r="I32" s="142" t="s">
        <v>1547</v>
      </c>
      <c r="J32" s="142" t="s">
        <v>1547</v>
      </c>
      <c r="K32" s="398" t="s">
        <v>1686</v>
      </c>
      <c r="L32" s="351" t="s">
        <v>1687</v>
      </c>
      <c r="M32" s="350">
        <v>450000</v>
      </c>
      <c r="N32" s="269" t="s">
        <v>1575</v>
      </c>
      <c r="O32" s="269" t="s">
        <v>840</v>
      </c>
      <c r="P32" s="399">
        <v>0.25</v>
      </c>
      <c r="Q32" s="269" t="s">
        <v>1688</v>
      </c>
      <c r="R32" s="400">
        <v>25000</v>
      </c>
      <c r="T32" s="392">
        <f t="shared" si="0"/>
        <v>112500</v>
      </c>
      <c r="U32" s="269" t="s">
        <v>1575</v>
      </c>
      <c r="V32" s="269" t="s">
        <v>840</v>
      </c>
      <c r="W32"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 spans="1:23" s="140" customFormat="1" ht="51" x14ac:dyDescent="0.2">
      <c r="A33" s="703" t="s">
        <v>1689</v>
      </c>
      <c r="B33" s="460" t="s">
        <v>1690</v>
      </c>
      <c r="C33" s="455" t="s">
        <v>904</v>
      </c>
      <c r="D33" s="268" t="s">
        <v>123</v>
      </c>
      <c r="E33" s="268" t="s">
        <v>834</v>
      </c>
      <c r="F33" s="144" t="s">
        <v>1547</v>
      </c>
      <c r="G33" s="144" t="s">
        <v>1547</v>
      </c>
      <c r="H33" s="144" t="s">
        <v>1547</v>
      </c>
      <c r="I33" s="144" t="s">
        <v>1547</v>
      </c>
      <c r="J33" s="144" t="s">
        <v>1546</v>
      </c>
      <c r="K33" s="405" t="s">
        <v>1691</v>
      </c>
      <c r="L33" s="484" t="s">
        <v>1595</v>
      </c>
      <c r="M33" s="406">
        <v>52500</v>
      </c>
      <c r="N33" s="268" t="s">
        <v>1550</v>
      </c>
      <c r="O33" s="268" t="s">
        <v>840</v>
      </c>
      <c r="P33" s="407">
        <v>0.25</v>
      </c>
      <c r="Q33" s="268" t="s">
        <v>1692</v>
      </c>
      <c r="R33" s="408">
        <v>10000</v>
      </c>
      <c r="S33" s="359" t="s">
        <v>1552</v>
      </c>
      <c r="T33" s="392">
        <f t="shared" si="0"/>
        <v>13125</v>
      </c>
      <c r="U33" s="268" t="s">
        <v>1575</v>
      </c>
      <c r="V33" s="268" t="s">
        <v>868</v>
      </c>
      <c r="W33"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 spans="1:20" s="140" customFormat="1" ht="51" x14ac:dyDescent="0.2">
      <c r="B34" s="460" t="s">
        <v>1693</v>
      </c>
      <c r="C34" s="455" t="s">
        <v>851</v>
      </c>
      <c r="D34" s="268" t="s">
        <v>1694</v>
      </c>
      <c r="E34" s="268" t="s">
        <v>834</v>
      </c>
      <c r="F34" s="144" t="s">
        <v>1547</v>
      </c>
      <c r="G34" s="144" t="s">
        <v>1546</v>
      </c>
      <c r="H34" s="144" t="s">
        <v>1547</v>
      </c>
      <c r="I34" s="144" t="s">
        <v>1547</v>
      </c>
      <c r="J34" s="144" t="s">
        <v>1546</v>
      </c>
      <c r="K34" s="405" t="s">
        <v>1695</v>
      </c>
      <c r="L34" s="484" t="s">
        <v>1615</v>
      </c>
      <c r="M34" s="406">
        <v>67500</v>
      </c>
      <c r="N34" s="268" t="s">
        <v>1550</v>
      </c>
      <c r="O34" s="268" t="s">
        <v>880</v>
      </c>
      <c r="P34" s="407">
        <v>0.25</v>
      </c>
      <c r="Q34" s="268" t="s">
        <v>1696</v>
      </c>
      <c r="T34" s="392">
        <f t="shared" si="0"/>
        <v>16875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 spans="1:23" s="140" customFormat="1" ht="51" x14ac:dyDescent="0.2">
      <c r="B35" s="460" t="s">
        <v>1697</v>
      </c>
      <c r="C35" s="455" t="s">
        <v>1610</v>
      </c>
      <c r="D35" s="268" t="s">
        <v>384</v>
      </c>
      <c r="E35" s="268" t="s">
        <v>834</v>
      </c>
      <c r="F35" s="144" t="s">
        <v>1546</v>
      </c>
      <c r="G35" s="144" t="s">
        <v>1547</v>
      </c>
      <c r="H35" s="144" t="s">
        <v>1547</v>
      </c>
      <c r="I35" s="144" t="s">
        <v>1547</v>
      </c>
      <c r="J35" s="144" t="s">
        <v>1547</v>
      </c>
      <c r="K35" s="405" t="s">
        <v>1698</v>
      </c>
      <c r="L35" s="484" t="s">
        <v>1699</v>
      </c>
      <c r="M35" s="410">
        <v>17500</v>
      </c>
      <c r="N35" s="268" t="s">
        <v>1550</v>
      </c>
      <c r="O35" s="268" t="s">
        <v>868</v>
      </c>
      <c r="P35" s="407">
        <v>0.25</v>
      </c>
      <c r="Q35" s="268" t="s">
        <v>1700</v>
      </c>
      <c r="R35" s="303">
        <v>10000</v>
      </c>
      <c r="S35" s="359" t="s">
        <v>1583</v>
      </c>
      <c r="T35" s="392">
        <f t="shared" si="0"/>
        <v>4375</v>
      </c>
      <c r="U35" s="268" t="s">
        <v>1559</v>
      </c>
      <c r="V35" s="268" t="s">
        <v>993</v>
      </c>
      <c r="W35"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 spans="1:23" s="140" customFormat="1" ht="34.5" customHeight="1" x14ac:dyDescent="0.2">
      <c r="B36" s="460" t="s">
        <v>1701</v>
      </c>
      <c r="C36" s="455" t="s">
        <v>981</v>
      </c>
      <c r="D36" s="268" t="s">
        <v>568</v>
      </c>
      <c r="E36" s="268" t="s">
        <v>834</v>
      </c>
      <c r="F36" s="144" t="s">
        <v>1547</v>
      </c>
      <c r="G36" s="144" t="s">
        <v>1547</v>
      </c>
      <c r="H36" s="144" t="s">
        <v>1547</v>
      </c>
      <c r="I36" s="144" t="s">
        <v>1547</v>
      </c>
      <c r="J36" s="144" t="s">
        <v>1546</v>
      </c>
      <c r="K36" s="405" t="s">
        <v>1702</v>
      </c>
      <c r="L36" s="503" t="s">
        <v>1562</v>
      </c>
      <c r="M36" s="406">
        <v>262500</v>
      </c>
      <c r="N36" s="268" t="s">
        <v>1550</v>
      </c>
      <c r="O36" s="268" t="s">
        <v>993</v>
      </c>
      <c r="P36" s="407">
        <v>0.25</v>
      </c>
      <c r="Q36" s="268" t="s">
        <v>1696</v>
      </c>
      <c r="R36" s="408">
        <v>10000</v>
      </c>
      <c r="S36" s="359" t="s">
        <v>1703</v>
      </c>
      <c r="T36" s="392">
        <f t="shared" si="0"/>
        <v>65625</v>
      </c>
      <c r="U36" s="268" t="s">
        <v>1559</v>
      </c>
      <c r="V36" s="268" t="s">
        <v>993</v>
      </c>
      <c r="W36"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 spans="1:23" s="140" customFormat="1" ht="51" x14ac:dyDescent="0.2">
      <c r="B37" s="460" t="s">
        <v>1704</v>
      </c>
      <c r="C37" s="455" t="s">
        <v>1554</v>
      </c>
      <c r="D37" s="268" t="s">
        <v>502</v>
      </c>
      <c r="E37" s="268" t="s">
        <v>834</v>
      </c>
      <c r="F37" s="144" t="s">
        <v>1547</v>
      </c>
      <c r="G37" s="144" t="s">
        <v>1547</v>
      </c>
      <c r="H37" s="144" t="s">
        <v>1546</v>
      </c>
      <c r="I37" s="144" t="s">
        <v>1547</v>
      </c>
      <c r="J37" s="144" t="s">
        <v>1547</v>
      </c>
      <c r="K37" s="405" t="s">
        <v>1705</v>
      </c>
      <c r="L37" s="484" t="s">
        <v>1706</v>
      </c>
      <c r="M37" s="406">
        <v>140000</v>
      </c>
      <c r="N37" s="268" t="s">
        <v>1550</v>
      </c>
      <c r="O37" s="268" t="s">
        <v>840</v>
      </c>
      <c r="P37" s="407">
        <v>0.25</v>
      </c>
      <c r="Q37" s="268" t="s">
        <v>1707</v>
      </c>
      <c r="R37" s="408">
        <v>20000</v>
      </c>
      <c r="S37" s="359" t="s">
        <v>1703</v>
      </c>
      <c r="T37" s="392">
        <f t="shared" si="0"/>
        <v>35000</v>
      </c>
      <c r="U37" s="268" t="s">
        <v>1550</v>
      </c>
      <c r="V37" s="268" t="s">
        <v>868</v>
      </c>
      <c r="W37"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 spans="1:23" s="140" customFormat="1" ht="51" x14ac:dyDescent="0.2">
      <c r="B38" s="460" t="s">
        <v>1708</v>
      </c>
      <c r="C38" s="446" t="s">
        <v>1258</v>
      </c>
      <c r="D38" s="268" t="s">
        <v>481</v>
      </c>
      <c r="E38" s="268" t="s">
        <v>834</v>
      </c>
      <c r="F38" s="144" t="s">
        <v>1546</v>
      </c>
      <c r="G38" s="144" t="s">
        <v>1547</v>
      </c>
      <c r="H38" s="144" t="s">
        <v>1547</v>
      </c>
      <c r="I38" s="144" t="s">
        <v>1547</v>
      </c>
      <c r="J38" s="144" t="s">
        <v>1546</v>
      </c>
      <c r="K38" s="405" t="s">
        <v>1709</v>
      </c>
      <c r="L38" s="484" t="s">
        <v>1595</v>
      </c>
      <c r="M38" s="406">
        <v>100000</v>
      </c>
      <c r="N38" s="268" t="s">
        <v>1550</v>
      </c>
      <c r="O38" s="268" t="s">
        <v>840</v>
      </c>
      <c r="P38" s="407">
        <v>0.25</v>
      </c>
      <c r="Q38" s="268" t="s">
        <v>1710</v>
      </c>
      <c r="R38" s="408">
        <v>20000</v>
      </c>
      <c r="S38" s="359" t="s">
        <v>1706</v>
      </c>
      <c r="T38" s="392">
        <f t="shared" si="0"/>
        <v>25000</v>
      </c>
      <c r="U38" s="268" t="s">
        <v>1559</v>
      </c>
      <c r="V38" s="268" t="s">
        <v>868</v>
      </c>
      <c r="W38"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9" spans="1:23" s="140" customFormat="1" ht="51" x14ac:dyDescent="0.2">
      <c r="B39" s="460" t="s">
        <v>1711</v>
      </c>
      <c r="C39" s="455" t="s">
        <v>937</v>
      </c>
      <c r="D39" s="268" t="s">
        <v>300</v>
      </c>
      <c r="E39" s="268" t="s">
        <v>834</v>
      </c>
      <c r="F39" s="144" t="s">
        <v>1546</v>
      </c>
      <c r="G39" s="144" t="s">
        <v>1547</v>
      </c>
      <c r="H39" s="144" t="s">
        <v>1547</v>
      </c>
      <c r="I39" s="144" t="s">
        <v>1547</v>
      </c>
      <c r="J39" s="144" t="s">
        <v>1546</v>
      </c>
      <c r="K39" s="405" t="s">
        <v>1712</v>
      </c>
      <c r="L39" s="504" t="s">
        <v>1562</v>
      </c>
      <c r="M39" s="406">
        <v>42000</v>
      </c>
      <c r="N39" s="268" t="s">
        <v>1575</v>
      </c>
      <c r="O39" s="268" t="s">
        <v>840</v>
      </c>
      <c r="P39" s="407">
        <v>0.25</v>
      </c>
      <c r="Q39" s="268" t="s">
        <v>1713</v>
      </c>
      <c r="R39" s="408">
        <v>8000</v>
      </c>
      <c r="S39" s="412" t="s">
        <v>1552</v>
      </c>
      <c r="T39" s="392">
        <f t="shared" si="0"/>
        <v>10500</v>
      </c>
      <c r="U39" s="268" t="s">
        <v>1550</v>
      </c>
      <c r="V39" s="268" t="s">
        <v>868</v>
      </c>
      <c r="W39"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0" spans="1:23" s="140" customFormat="1" ht="51" x14ac:dyDescent="0.2">
      <c r="B40" s="460" t="s">
        <v>1714</v>
      </c>
      <c r="C40" s="455" t="s">
        <v>1009</v>
      </c>
      <c r="D40" s="268" t="s">
        <v>686</v>
      </c>
      <c r="E40" s="268" t="s">
        <v>846</v>
      </c>
      <c r="F40" s="144" t="s">
        <v>1546</v>
      </c>
      <c r="G40" s="144" t="s">
        <v>1547</v>
      </c>
      <c r="H40" s="144" t="s">
        <v>1547</v>
      </c>
      <c r="I40" s="144" t="s">
        <v>1547</v>
      </c>
      <c r="J40" s="144" t="s">
        <v>1547</v>
      </c>
      <c r="K40" s="405" t="s">
        <v>1715</v>
      </c>
      <c r="L40" s="484" t="s">
        <v>1716</v>
      </c>
      <c r="M40" s="410">
        <v>25000</v>
      </c>
      <c r="N40" s="268" t="s">
        <v>1550</v>
      </c>
      <c r="O40" s="268" t="s">
        <v>868</v>
      </c>
      <c r="P40" s="407">
        <v>0.25</v>
      </c>
      <c r="Q40" s="268" t="s">
        <v>1717</v>
      </c>
      <c r="R40" s="408">
        <v>11000</v>
      </c>
      <c r="S40" s="359" t="s">
        <v>1718</v>
      </c>
      <c r="T40" s="392">
        <f t="shared" si="0"/>
        <v>6250</v>
      </c>
      <c r="U40" s="268" t="s">
        <v>1559</v>
      </c>
      <c r="V40" s="268" t="s">
        <v>993</v>
      </c>
      <c r="W40"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1" spans="1:23" s="140" customFormat="1" ht="34" x14ac:dyDescent="0.2">
      <c r="B41" s="460" t="s">
        <v>1719</v>
      </c>
      <c r="C41" s="455" t="s">
        <v>1720</v>
      </c>
      <c r="D41" s="268" t="s">
        <v>194</v>
      </c>
      <c r="E41" s="268" t="s">
        <v>834</v>
      </c>
      <c r="F41" s="144" t="s">
        <v>1547</v>
      </c>
      <c r="G41" s="144" t="s">
        <v>1547</v>
      </c>
      <c r="H41" s="144" t="s">
        <v>1546</v>
      </c>
      <c r="I41" s="144" t="s">
        <v>1547</v>
      </c>
      <c r="J41" s="144" t="s">
        <v>1546</v>
      </c>
      <c r="K41" s="405" t="s">
        <v>1721</v>
      </c>
      <c r="L41" s="484" t="s">
        <v>1557</v>
      </c>
      <c r="M41" s="406">
        <v>63000</v>
      </c>
      <c r="N41" s="268" t="s">
        <v>1550</v>
      </c>
      <c r="O41" s="268" t="s">
        <v>840</v>
      </c>
      <c r="P41" s="407">
        <v>0.25</v>
      </c>
      <c r="Q41" s="268" t="s">
        <v>1722</v>
      </c>
      <c r="R41" s="408">
        <v>10000</v>
      </c>
      <c r="S41" s="359" t="s">
        <v>1583</v>
      </c>
      <c r="T41" s="392">
        <f t="shared" si="0"/>
        <v>15750</v>
      </c>
      <c r="V41" s="268" t="s">
        <v>868</v>
      </c>
      <c r="W41"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2" spans="1:23" s="140" customFormat="1" ht="51" x14ac:dyDescent="0.2">
      <c r="B42" s="460" t="s">
        <v>1723</v>
      </c>
      <c r="C42" s="455" t="s">
        <v>1268</v>
      </c>
      <c r="D42" s="268" t="s">
        <v>70</v>
      </c>
      <c r="E42" s="268" t="s">
        <v>834</v>
      </c>
      <c r="F42" s="144" t="s">
        <v>1547</v>
      </c>
      <c r="G42" s="144" t="s">
        <v>1547</v>
      </c>
      <c r="H42" s="144" t="s">
        <v>1547</v>
      </c>
      <c r="I42" s="144" t="s">
        <v>1547</v>
      </c>
      <c r="J42" s="144" t="s">
        <v>1547</v>
      </c>
      <c r="K42" s="405" t="s">
        <v>1724</v>
      </c>
      <c r="L42" s="484" t="s">
        <v>1725</v>
      </c>
      <c r="M42" s="406">
        <v>56000</v>
      </c>
      <c r="N42" s="268" t="s">
        <v>1575</v>
      </c>
      <c r="O42" s="268" t="s">
        <v>840</v>
      </c>
      <c r="P42" s="407">
        <v>0.25</v>
      </c>
      <c r="Q42" s="268" t="s">
        <v>1726</v>
      </c>
      <c r="R42" s="408">
        <v>20000</v>
      </c>
      <c r="S42" s="359" t="s">
        <v>1552</v>
      </c>
      <c r="T42" s="392">
        <f t="shared" si="0"/>
        <v>14000</v>
      </c>
      <c r="U42" s="268" t="s">
        <v>1575</v>
      </c>
      <c r="V42" s="268" t="s">
        <v>868</v>
      </c>
      <c r="W42"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3" spans="1:23" s="140" customFormat="1" ht="34" x14ac:dyDescent="0.2">
      <c r="B43" s="460" t="s">
        <v>1727</v>
      </c>
      <c r="C43" s="455" t="s">
        <v>1229</v>
      </c>
      <c r="D43" s="268" t="s">
        <v>408</v>
      </c>
      <c r="E43" s="268" t="s">
        <v>834</v>
      </c>
      <c r="F43" s="144" t="s">
        <v>1547</v>
      </c>
      <c r="G43" s="144" t="s">
        <v>1547</v>
      </c>
      <c r="H43" s="144" t="s">
        <v>1547</v>
      </c>
      <c r="I43" s="144" t="s">
        <v>1547</v>
      </c>
      <c r="J43" s="144" t="s">
        <v>1547</v>
      </c>
      <c r="K43" s="405" t="s">
        <v>1728</v>
      </c>
      <c r="L43" s="484" t="s">
        <v>1583</v>
      </c>
      <c r="M43" s="406">
        <v>25000</v>
      </c>
      <c r="N43" s="268" t="s">
        <v>1550</v>
      </c>
      <c r="O43" s="268" t="s">
        <v>868</v>
      </c>
      <c r="P43" s="407">
        <v>0.25</v>
      </c>
      <c r="Q43" s="268" t="s">
        <v>1729</v>
      </c>
      <c r="R43" s="408">
        <v>8000</v>
      </c>
      <c r="S43" s="412" t="s">
        <v>1730</v>
      </c>
      <c r="T43" s="392">
        <f t="shared" si="0"/>
        <v>6250</v>
      </c>
      <c r="U43" s="268" t="s">
        <v>1559</v>
      </c>
      <c r="V43" s="268" t="s">
        <v>993</v>
      </c>
      <c r="W43"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4" spans="1:20" s="140" customFormat="1" ht="34" hidden="1" x14ac:dyDescent="0.2">
      <c r="B44" s="460" t="s">
        <v>1731</v>
      </c>
      <c r="C44" s="455" t="s">
        <v>1275</v>
      </c>
      <c r="E44" s="268" t="s">
        <v>846</v>
      </c>
      <c r="F44" s="144" t="s">
        <v>1547</v>
      </c>
      <c r="G44" s="144" t="s">
        <v>1547</v>
      </c>
      <c r="H44" s="144" t="s">
        <v>1547</v>
      </c>
      <c r="I44" s="144" t="s">
        <v>1547</v>
      </c>
      <c r="J44" s="144" t="s">
        <v>1547</v>
      </c>
      <c r="K44" s="405" t="s">
        <v>1732</v>
      </c>
      <c r="N44" s="268" t="s">
        <v>1550</v>
      </c>
      <c r="P44" s="407">
        <v>0.25</v>
      </c>
      <c r="Q44" s="268" t="s">
        <v>1696</v>
      </c>
      <c r="T44" s="392">
        <f t="shared" si="0"/>
        <v>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5" spans="1:23" s="140" customFormat="1" ht="34" x14ac:dyDescent="0.2">
      <c r="B45" s="460" t="s">
        <v>1733</v>
      </c>
      <c r="C45" s="455" t="s">
        <v>1288</v>
      </c>
      <c r="D45" s="268" t="s">
        <v>488</v>
      </c>
      <c r="E45" s="268" t="s">
        <v>834</v>
      </c>
      <c r="F45" s="144" t="s">
        <v>1547</v>
      </c>
      <c r="G45" s="144" t="s">
        <v>1546</v>
      </c>
      <c r="H45" s="144" t="s">
        <v>1547</v>
      </c>
      <c r="I45" s="144" t="s">
        <v>1547</v>
      </c>
      <c r="J45" s="144" t="s">
        <v>1547</v>
      </c>
      <c r="K45" s="405" t="s">
        <v>1734</v>
      </c>
      <c r="L45" s="484" t="s">
        <v>1583</v>
      </c>
      <c r="M45" s="406">
        <v>56250</v>
      </c>
      <c r="N45" s="268" t="s">
        <v>1550</v>
      </c>
      <c r="O45" s="268" t="s">
        <v>840</v>
      </c>
      <c r="P45" s="407">
        <v>0.25</v>
      </c>
      <c r="Q45" s="268" t="s">
        <v>1696</v>
      </c>
      <c r="R45" s="408">
        <v>8000</v>
      </c>
      <c r="S45" s="359" t="s">
        <v>1730</v>
      </c>
      <c r="T45" s="392">
        <f t="shared" si="0"/>
        <v>14062.5</v>
      </c>
      <c r="U45" s="268" t="s">
        <v>1559</v>
      </c>
      <c r="V45" s="268" t="s">
        <v>868</v>
      </c>
      <c r="W45"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6" spans="1:23" s="140" customFormat="1" ht="51" x14ac:dyDescent="0.2">
      <c r="B46" s="460" t="s">
        <v>1735</v>
      </c>
      <c r="C46" s="446" t="s">
        <v>1579</v>
      </c>
      <c r="D46" s="268" t="s">
        <v>1736</v>
      </c>
      <c r="E46" s="411" t="s">
        <v>1295</v>
      </c>
      <c r="F46" s="144" t="s">
        <v>1547</v>
      </c>
      <c r="G46" s="144" t="s">
        <v>1547</v>
      </c>
      <c r="H46" s="144" t="s">
        <v>1547</v>
      </c>
      <c r="I46" s="144" t="s">
        <v>1547</v>
      </c>
      <c r="J46" s="144" t="s">
        <v>1547</v>
      </c>
      <c r="K46" s="405" t="s">
        <v>1737</v>
      </c>
      <c r="L46" s="484" t="s">
        <v>1549</v>
      </c>
      <c r="M46" s="406">
        <v>72000</v>
      </c>
      <c r="N46" s="268" t="s">
        <v>1550</v>
      </c>
      <c r="O46" s="268" t="s">
        <v>880</v>
      </c>
      <c r="P46" s="407">
        <v>0.25</v>
      </c>
      <c r="Q46" s="268" t="s">
        <v>1738</v>
      </c>
      <c r="R46" s="408">
        <v>50000</v>
      </c>
      <c r="S46" s="359" t="s">
        <v>1552</v>
      </c>
      <c r="T46" s="392">
        <f t="shared" si="0"/>
        <v>18000</v>
      </c>
      <c r="U46" s="268" t="s">
        <v>1575</v>
      </c>
      <c r="V46" s="268" t="s">
        <v>868</v>
      </c>
      <c r="W46"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7" spans="1:23" s="140" customFormat="1" ht="17" x14ac:dyDescent="0.2">
      <c r="B47" s="460" t="s">
        <v>1739</v>
      </c>
      <c r="C47" s="446" t="s">
        <v>1740</v>
      </c>
      <c r="D47" s="268" t="s">
        <v>329</v>
      </c>
      <c r="E47" s="411" t="s">
        <v>846</v>
      </c>
      <c r="F47" s="144" t="s">
        <v>1547</v>
      </c>
      <c r="G47" s="144" t="s">
        <v>1547</v>
      </c>
      <c r="H47" s="144" t="s">
        <v>1547</v>
      </c>
      <c r="I47" s="144" t="s">
        <v>1547</v>
      </c>
      <c r="J47" s="144" t="s">
        <v>1547</v>
      </c>
      <c r="K47" s="405" t="s">
        <v>1741</v>
      </c>
      <c r="L47" s="484" t="s">
        <v>1583</v>
      </c>
      <c r="M47" s="406">
        <v>70000</v>
      </c>
      <c r="N47" s="268" t="s">
        <v>1575</v>
      </c>
      <c r="O47" s="268" t="s">
        <v>868</v>
      </c>
      <c r="P47" s="407">
        <v>0.25</v>
      </c>
      <c r="Q47" s="268" t="s">
        <v>1742</v>
      </c>
      <c r="R47" s="408">
        <v>10000</v>
      </c>
      <c r="S47" s="412" t="s">
        <v>1743</v>
      </c>
      <c r="T47" s="392">
        <f t="shared" si="0"/>
        <v>17500</v>
      </c>
      <c r="U47" s="268" t="s">
        <v>1550</v>
      </c>
      <c r="V47" s="268" t="s">
        <v>868</v>
      </c>
      <c r="W47" s="268"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8" spans="1:23" s="140" customFormat="1" ht="51" x14ac:dyDescent="0.2">
      <c r="A48" s="707" t="s">
        <v>1744</v>
      </c>
      <c r="B48" s="461" t="s">
        <v>1745</v>
      </c>
      <c r="C48" s="267" t="s">
        <v>1610</v>
      </c>
      <c r="D48" s="532" t="s">
        <v>613</v>
      </c>
      <c r="E48" s="267" t="s">
        <v>834</v>
      </c>
      <c r="F48" s="145" t="s">
        <v>1546</v>
      </c>
      <c r="G48" s="145" t="s">
        <v>1547</v>
      </c>
      <c r="H48" s="145" t="s">
        <v>1547</v>
      </c>
      <c r="I48" s="145" t="s">
        <v>1547</v>
      </c>
      <c r="J48" s="145" t="s">
        <v>1547</v>
      </c>
      <c r="K48" s="413" t="s">
        <v>1746</v>
      </c>
      <c r="L48" s="423" t="s">
        <v>1747</v>
      </c>
      <c r="M48" s="347">
        <v>43750</v>
      </c>
      <c r="N48" s="267" t="s">
        <v>1575</v>
      </c>
      <c r="O48" s="267" t="s">
        <v>840</v>
      </c>
      <c r="P48" s="414">
        <v>0.25</v>
      </c>
      <c r="Q48" s="267" t="s">
        <v>1700</v>
      </c>
      <c r="R48" s="533">
        <v>35000</v>
      </c>
      <c r="S48" s="415" t="s">
        <v>1748</v>
      </c>
      <c r="T48" s="392">
        <f t="shared" si="0"/>
        <v>10937.5</v>
      </c>
      <c r="U48" s="268" t="s">
        <v>1550</v>
      </c>
      <c r="V48" s="268" t="s">
        <v>868</v>
      </c>
      <c r="W48" s="269"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9" spans="1:23" s="140" customFormat="1" ht="51" x14ac:dyDescent="0.2">
      <c r="B49" s="462" t="s">
        <v>1749</v>
      </c>
      <c r="C49" s="417" t="s">
        <v>1545</v>
      </c>
      <c r="D49" s="267" t="s">
        <v>220</v>
      </c>
      <c r="E49" s="417" t="s">
        <v>1295</v>
      </c>
      <c r="F49" s="145" t="s">
        <v>1546</v>
      </c>
      <c r="G49" s="145" t="s">
        <v>1547</v>
      </c>
      <c r="H49" s="145" t="s">
        <v>1546</v>
      </c>
      <c r="I49" s="145" t="s">
        <v>1546</v>
      </c>
      <c r="J49" s="145" t="s">
        <v>1547</v>
      </c>
      <c r="K49" s="413" t="s">
        <v>1750</v>
      </c>
      <c r="L49" s="423" t="s">
        <v>1574</v>
      </c>
      <c r="M49" s="418">
        <v>31500</v>
      </c>
      <c r="N49" s="267" t="s">
        <v>1550</v>
      </c>
      <c r="O49" s="267" t="s">
        <v>840</v>
      </c>
      <c r="P49" s="414">
        <v>0.25</v>
      </c>
      <c r="Q49" s="267" t="s">
        <v>1551</v>
      </c>
      <c r="R49" s="419">
        <v>22000</v>
      </c>
      <c r="S49" s="415" t="s">
        <v>1703</v>
      </c>
      <c r="T49" s="392">
        <f t="shared" si="0"/>
        <v>7875</v>
      </c>
      <c r="V49" s="267" t="s">
        <v>868</v>
      </c>
      <c r="W49" s="26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0" spans="1:23" s="140" customFormat="1" ht="51" x14ac:dyDescent="0.2">
      <c r="B50" s="462" t="s">
        <v>1751</v>
      </c>
      <c r="C50" s="417" t="s">
        <v>869</v>
      </c>
      <c r="D50" s="267" t="s">
        <v>1752</v>
      </c>
      <c r="E50" s="417" t="s">
        <v>834</v>
      </c>
      <c r="F50" s="145" t="s">
        <v>1547</v>
      </c>
      <c r="G50" s="145" t="s">
        <v>1547</v>
      </c>
      <c r="H50" s="145" t="s">
        <v>1547</v>
      </c>
      <c r="I50" s="145" t="s">
        <v>1547</v>
      </c>
      <c r="J50" s="145" t="s">
        <v>1547</v>
      </c>
      <c r="K50" s="413" t="s">
        <v>1753</v>
      </c>
      <c r="L50" s="494" t="s">
        <v>1562</v>
      </c>
      <c r="M50" s="418">
        <v>20000</v>
      </c>
      <c r="N50" s="267" t="s">
        <v>1550</v>
      </c>
      <c r="O50" s="267" t="s">
        <v>868</v>
      </c>
      <c r="P50" s="414">
        <v>0.25</v>
      </c>
      <c r="Q50" s="267" t="s">
        <v>1754</v>
      </c>
      <c r="R50" s="419">
        <v>10000</v>
      </c>
      <c r="S50" s="420" t="s">
        <v>1623</v>
      </c>
      <c r="T50" s="392">
        <f t="shared" si="0"/>
        <v>5000</v>
      </c>
      <c r="U50" s="267" t="s">
        <v>1559</v>
      </c>
      <c r="V50" s="267" t="s">
        <v>993</v>
      </c>
      <c r="W50" s="26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1" spans="1:23" s="140" customFormat="1" ht="30" customHeight="1" x14ac:dyDescent="0.2">
      <c r="B51" s="462" t="s">
        <v>1755</v>
      </c>
      <c r="C51" s="417" t="s">
        <v>1554</v>
      </c>
      <c r="D51" s="267" t="s">
        <v>93</v>
      </c>
      <c r="E51" s="417" t="s">
        <v>846</v>
      </c>
      <c r="F51" s="145" t="s">
        <v>1547</v>
      </c>
      <c r="G51" s="145" t="s">
        <v>1547</v>
      </c>
      <c r="H51" s="145" t="s">
        <v>1546</v>
      </c>
      <c r="I51" s="145" t="s">
        <v>1547</v>
      </c>
      <c r="J51" s="145" t="s">
        <v>1547</v>
      </c>
      <c r="K51" s="413" t="s">
        <v>1756</v>
      </c>
      <c r="L51" s="423" t="s">
        <v>1615</v>
      </c>
      <c r="M51" s="418">
        <v>45000</v>
      </c>
      <c r="N51" s="267" t="s">
        <v>1550</v>
      </c>
      <c r="O51" s="267" t="s">
        <v>840</v>
      </c>
      <c r="P51" s="414">
        <v>0.25</v>
      </c>
      <c r="Q51" s="267" t="s">
        <v>1757</v>
      </c>
      <c r="R51" s="419">
        <v>20000</v>
      </c>
      <c r="S51" s="415">
        <v>10</v>
      </c>
      <c r="T51" s="392">
        <f t="shared" si="0"/>
        <v>11250</v>
      </c>
      <c r="U51" s="267" t="s">
        <v>1575</v>
      </c>
      <c r="V51" s="267" t="s">
        <v>868</v>
      </c>
      <c r="W51" s="26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2" spans="1:23" s="140" customFormat="1" ht="85" x14ac:dyDescent="0.2">
      <c r="B52" s="462" t="s">
        <v>1758</v>
      </c>
      <c r="C52" s="417" t="s">
        <v>1009</v>
      </c>
      <c r="D52" s="267" t="s">
        <v>1759</v>
      </c>
      <c r="E52" s="417" t="s">
        <v>846</v>
      </c>
      <c r="F52" s="145" t="s">
        <v>1546</v>
      </c>
      <c r="G52" s="145" t="s">
        <v>1547</v>
      </c>
      <c r="H52" s="145" t="s">
        <v>1547</v>
      </c>
      <c r="I52" s="145" t="s">
        <v>1547</v>
      </c>
      <c r="J52" s="145" t="s">
        <v>1547</v>
      </c>
      <c r="K52" s="413" t="s">
        <v>1760</v>
      </c>
      <c r="L52" s="423" t="s">
        <v>1552</v>
      </c>
      <c r="M52" s="418">
        <v>25000</v>
      </c>
      <c r="N52" s="267" t="s">
        <v>1550</v>
      </c>
      <c r="O52" s="267" t="s">
        <v>868</v>
      </c>
      <c r="P52" s="414">
        <v>0.25</v>
      </c>
      <c r="Q52" s="267" t="s">
        <v>1761</v>
      </c>
      <c r="R52" s="419">
        <v>8000</v>
      </c>
      <c r="S52" s="415" t="s">
        <v>1583</v>
      </c>
      <c r="T52" s="392">
        <f t="shared" si="0"/>
        <v>6250</v>
      </c>
      <c r="U52" s="267" t="s">
        <v>1559</v>
      </c>
      <c r="V52" s="267" t="s">
        <v>993</v>
      </c>
      <c r="W52" s="26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3" spans="1:23" s="140" customFormat="1" ht="51" x14ac:dyDescent="0.2">
      <c r="B53" s="462" t="s">
        <v>1762</v>
      </c>
      <c r="C53" s="417" t="s">
        <v>1566</v>
      </c>
      <c r="D53" s="267" t="s">
        <v>310</v>
      </c>
      <c r="E53" s="417" t="s">
        <v>1295</v>
      </c>
      <c r="F53" s="145" t="s">
        <v>1547</v>
      </c>
      <c r="G53" s="145" t="s">
        <v>1547</v>
      </c>
      <c r="H53" s="145" t="s">
        <v>1546</v>
      </c>
      <c r="I53" s="145" t="s">
        <v>1546</v>
      </c>
      <c r="J53" s="145" t="s">
        <v>1547</v>
      </c>
      <c r="K53" s="413" t="s">
        <v>1763</v>
      </c>
      <c r="L53" s="505" t="s">
        <v>1764</v>
      </c>
      <c r="M53" s="418">
        <v>45000</v>
      </c>
      <c r="N53" s="267" t="s">
        <v>1550</v>
      </c>
      <c r="O53" s="267" t="s">
        <v>840</v>
      </c>
      <c r="P53" s="414">
        <v>0.25</v>
      </c>
      <c r="Q53" s="267" t="s">
        <v>1765</v>
      </c>
      <c r="R53" s="419">
        <v>9000</v>
      </c>
      <c r="S53" s="420" t="s">
        <v>1570</v>
      </c>
      <c r="T53" s="392">
        <f t="shared" si="0"/>
        <v>11250</v>
      </c>
      <c r="U53" s="267" t="s">
        <v>1559</v>
      </c>
      <c r="V53" s="267" t="s">
        <v>868</v>
      </c>
      <c r="W53" s="26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4" spans="1:23" s="140" customFormat="1" ht="102" x14ac:dyDescent="0.2">
      <c r="B54" s="462" t="s">
        <v>1766</v>
      </c>
      <c r="C54" s="417" t="s">
        <v>1767</v>
      </c>
      <c r="D54" s="417" t="s">
        <v>361</v>
      </c>
      <c r="E54" s="417" t="s">
        <v>834</v>
      </c>
      <c r="F54" s="145" t="s">
        <v>1547</v>
      </c>
      <c r="G54" s="145" t="s">
        <v>1547</v>
      </c>
      <c r="H54" s="145" t="s">
        <v>1547</v>
      </c>
      <c r="I54" s="145" t="s">
        <v>1547</v>
      </c>
      <c r="J54" s="145" t="s">
        <v>1547</v>
      </c>
      <c r="K54" s="413" t="s">
        <v>1768</v>
      </c>
      <c r="L54" s="505" t="s">
        <v>1769</v>
      </c>
      <c r="M54" s="418">
        <v>25000</v>
      </c>
      <c r="N54" s="267" t="s">
        <v>1559</v>
      </c>
      <c r="O54" s="267" t="s">
        <v>840</v>
      </c>
      <c r="P54" s="414">
        <v>0.25</v>
      </c>
      <c r="Q54" s="421" t="s">
        <v>1770</v>
      </c>
      <c r="R54" s="419">
        <v>12000</v>
      </c>
      <c r="S54" s="420" t="s">
        <v>1771</v>
      </c>
      <c r="T54" s="392">
        <f t="shared" si="0"/>
        <v>6250</v>
      </c>
      <c r="U54" s="267" t="s">
        <v>1559</v>
      </c>
      <c r="V54" s="267" t="s">
        <v>868</v>
      </c>
      <c r="W54" s="26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5" spans="1:23" s="140" customFormat="1" ht="34" x14ac:dyDescent="0.2">
      <c r="B55" s="462" t="s">
        <v>1772</v>
      </c>
      <c r="C55" s="417" t="s">
        <v>1205</v>
      </c>
      <c r="D55" s="267" t="s">
        <v>384</v>
      </c>
      <c r="E55" s="417" t="s">
        <v>1295</v>
      </c>
      <c r="F55" s="145" t="s">
        <v>1547</v>
      </c>
      <c r="G55" s="145" t="s">
        <v>1547</v>
      </c>
      <c r="H55" s="145" t="s">
        <v>1547</v>
      </c>
      <c r="I55" s="145" t="s">
        <v>1547</v>
      </c>
      <c r="J55" s="145" t="s">
        <v>1547</v>
      </c>
      <c r="K55" s="413" t="s">
        <v>1773</v>
      </c>
      <c r="L55" s="494" t="s">
        <v>1774</v>
      </c>
      <c r="M55" s="418">
        <v>122499.99999999999</v>
      </c>
      <c r="N55" s="267" t="s">
        <v>1575</v>
      </c>
      <c r="O55" s="267" t="s">
        <v>840</v>
      </c>
      <c r="P55" s="414">
        <v>0.25</v>
      </c>
      <c r="Q55" s="267" t="s">
        <v>1696</v>
      </c>
      <c r="R55" s="419">
        <v>22000</v>
      </c>
      <c r="S55" s="420" t="s">
        <v>1775</v>
      </c>
      <c r="T55" s="392">
        <f t="shared" si="0"/>
        <v>30624.999999999996</v>
      </c>
      <c r="U55" s="267" t="s">
        <v>1550</v>
      </c>
      <c r="V55" s="267" t="s">
        <v>868</v>
      </c>
      <c r="W55" s="26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6" spans="1:23" s="140" customFormat="1" ht="51" x14ac:dyDescent="0.2">
      <c r="B56" s="462" t="s">
        <v>1776</v>
      </c>
      <c r="C56" s="417" t="s">
        <v>1579</v>
      </c>
      <c r="D56" s="267" t="s">
        <v>264</v>
      </c>
      <c r="E56" s="417" t="s">
        <v>1295</v>
      </c>
      <c r="F56" s="145" t="s">
        <v>1547</v>
      </c>
      <c r="G56" s="145" t="s">
        <v>1547</v>
      </c>
      <c r="H56" s="145" t="s">
        <v>1547</v>
      </c>
      <c r="I56" s="145" t="s">
        <v>1547</v>
      </c>
      <c r="J56" s="145" t="s">
        <v>1547</v>
      </c>
      <c r="K56" s="422" t="s">
        <v>1777</v>
      </c>
      <c r="L56" s="506" t="s">
        <v>1552</v>
      </c>
      <c r="M56" s="418">
        <v>12500</v>
      </c>
      <c r="N56" s="267" t="s">
        <v>1550</v>
      </c>
      <c r="O56" s="267" t="s">
        <v>868</v>
      </c>
      <c r="P56" s="414">
        <v>0.25</v>
      </c>
      <c r="Q56" s="267" t="s">
        <v>1700</v>
      </c>
      <c r="R56" s="419">
        <v>4000</v>
      </c>
      <c r="S56" s="420" t="s">
        <v>1778</v>
      </c>
      <c r="T56" s="392">
        <f t="shared" si="0"/>
        <v>3125</v>
      </c>
      <c r="U56" s="267" t="s">
        <v>1559</v>
      </c>
      <c r="V56" s="267" t="s">
        <v>993</v>
      </c>
      <c r="W56" s="26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7" spans="1:23" s="140" customFormat="1" ht="68" x14ac:dyDescent="0.2">
      <c r="B57" s="462" t="s">
        <v>1779</v>
      </c>
      <c r="C57" s="417" t="s">
        <v>1780</v>
      </c>
      <c r="D57" s="267" t="s">
        <v>535</v>
      </c>
      <c r="E57" s="417" t="s">
        <v>1295</v>
      </c>
      <c r="F57" s="145" t="s">
        <v>1547</v>
      </c>
      <c r="G57" s="145" t="s">
        <v>1547</v>
      </c>
      <c r="H57" s="145" t="s">
        <v>1546</v>
      </c>
      <c r="I57" s="145" t="s">
        <v>1546</v>
      </c>
      <c r="J57" s="352" t="s">
        <v>1547</v>
      </c>
      <c r="K57" s="423" t="s">
        <v>1781</v>
      </c>
      <c r="L57" s="507" t="s">
        <v>1562</v>
      </c>
      <c r="M57" s="418">
        <v>350000</v>
      </c>
      <c r="N57" s="267" t="s">
        <v>1559</v>
      </c>
      <c r="O57" s="267" t="s">
        <v>868</v>
      </c>
      <c r="P57" s="414">
        <v>0.25</v>
      </c>
      <c r="Q57" s="267" t="s">
        <v>1765</v>
      </c>
      <c r="R57" s="419">
        <v>50000</v>
      </c>
      <c r="S57" s="420" t="s">
        <v>1633</v>
      </c>
      <c r="T57" s="392">
        <f t="shared" si="0"/>
        <v>87500</v>
      </c>
      <c r="U57" s="267" t="s">
        <v>1559</v>
      </c>
      <c r="V57" s="267" t="s">
        <v>993</v>
      </c>
      <c r="W57" s="267"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2338" spans="1:4" ht="16.5" customHeight="1" x14ac:dyDescent="0.2">
      <c r="D232338" s="425" t="s">
        <v>1782</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2339" spans="1:4" ht="16.5" customHeight="1" x14ac:dyDescent="0.2">
      <c r="D232339" s="425">
        <f>COUNTIFS($E4:$E57,"*I*",$F4:$F57,"Y")</f>
        <v>26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2340" spans="1:4" ht="16.5" customHeight="1" x14ac:dyDescent="0.2">
      <c r="D232340" s="425">
        <f>COUNTIFS($E4:$E57,"*A*",$F4:$F57,"Y")</f>
        <v>26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2341" spans="1:4" ht="16.5" customHeight="1" x14ac:dyDescent="0.2">
      <c r="D232341" s="425">
        <f>COUNTIFS($E4:$E57,"*I*",$G4:$G57,"Y")</f>
        <v>35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2342" spans="1:4" ht="16.5" customHeight="1" x14ac:dyDescent="0.2">
      <c r="D232342" s="425">
        <f>COUNTIFS($E4:$E57,"*A*",$G4:$G57,"Y")</f>
        <v>35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2343" spans="1:4" ht="16.5" customHeight="1" x14ac:dyDescent="0.2">
      <c r="D232343" s="425">
        <f>COUNTA(C3:C57)</f>
        <v>54</v>
      </c>
    </row>
  </sheetData>
  <mergeCells count="27">
    <mergeCell ref="AC1:AC2"/>
    <mergeCell ref="AD1:AD2"/>
    <mergeCell ref="AE1:AE2"/>
    <mergeCell ref="E1:E2"/>
    <mergeCell ref="X1:X1048576"/>
    <mergeCell ref="Z7:AC7"/>
    <mergeCell ref="Z8:AC8"/>
    <mergeCell ref="D1:D2"/>
    <mergeCell ref="AA1:AA2"/>
    <mergeCell ref="AB1:AB2"/>
    <mergeCell ref="W1:W2"/>
    <mergeCell ref="Z1:Z2"/>
    <mergeCell ref="R1:R2"/>
    <mergeCell ref="F1:G1"/>
    <mergeCell ref="H1:J1"/>
    <mergeCell ref="V1:V2"/>
    <mergeCell ref="K1:K2"/>
    <mergeCell ref="L1:N1"/>
    <mergeCell ref="O1:O2"/>
    <mergeCell ref="Q1:Q2"/>
    <mergeCell ref="S1:U1"/>
    <mergeCell ref="B1:B2"/>
    <mergeCell ref="C1:C2"/>
    <mergeCell ref="A33:A46"/>
    <mergeCell ref="A3:A9"/>
    <mergeCell ref="A48:A57"/>
    <mergeCell ref="A1:A2"/>
  </mergeCells>
  <conditionalFormatting sqref="F1:J1048576">
    <cfRule type="cellIs" dxfId="9" priority="6" operator="equal">
      <formula>"N"</formula>
    </cfRule>
    <cfRule type="cellIs" dxfId="8" priority="7" operator="equal">
      <formula>"Y"</formula>
    </cfRule>
  </conditionalFormatting>
  <conditionalFormatting sqref="N1:N1048576 U1:U1048576">
    <cfRule type="cellIs" dxfId="7" priority="3" operator="equal">
      <formula>"L"</formula>
    </cfRule>
    <cfRule type="cellIs" dxfId="6" priority="4" operator="equal">
      <formula>"M"</formula>
    </cfRule>
    <cfRule type="cellIs" dxfId="5" priority="5" operator="equal">
      <formula>"H"</formula>
    </cfRule>
  </conditionalFormatting>
  <conditionalFormatting sqref="W1:W1048576">
    <cfRule type="cellIs" dxfId="4" priority="1" operator="equal">
      <formula>"Yes"</formula>
    </cfRule>
    <cfRule type="cellIs" dxfId="3" priority="2" operator="equal">
      <formula>"No"</formula>
    </cfRule>
  </conditionalFormatting>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02105-FA49-4271-9334-6023C4B47911}">
  <dimension ref="A1:H53"/>
  <sheetViews>
    <sheetView zoomScale="69" zoomScaleNormal="85" workbookViewId="0">
      <selection activeCell="D3" sqref="D3"/>
    </sheetView>
  </sheetViews>
  <sheetFormatPr baseColWidth="10" defaultColWidth="11.5" defaultRowHeight="15" x14ac:dyDescent="0.2"/>
  <cols>
    <col min="1" max="1" width="22.5" style="80" customWidth="1"/>
    <col min="2" max="2" width="37.5" style="80" customWidth="1"/>
    <col min="3" max="3" width="20.5" style="294" customWidth="1"/>
    <col min="4" max="4" width="47" style="80" customWidth="1"/>
    <col min="5" max="5" width="25.5" style="301" customWidth="1"/>
    <col min="6" max="6" width="47.33203125" style="302" customWidth="1"/>
    <col min="7" max="7" width="4.6640625" style="360" customWidth="1"/>
    <col min="8" max="8" width="83.6640625" style="80" customWidth="1"/>
  </cols>
  <sheetData>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 spans="1:6" ht="14.5" customHeight="1" x14ac:dyDescent="0.2">
      <c r="A1" s="728" t="s">
        <v>1519</v>
      </c>
      <c r="B1" s="728" t="s">
        <v>1521</v>
      </c>
      <c r="C1" s="728" t="s">
        <v>1522</v>
      </c>
      <c r="D1" s="728" t="s">
        <v>1528</v>
      </c>
      <c r="E1" s="726" t="s">
        <v>1783</v>
      </c>
      <c r="F1" s="361" t="s">
        <v>1784</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 spans="1:6" ht="29" customHeight="1" x14ac:dyDescent="0.2">
      <c r="F2" s="361" t="s">
        <v>1785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 spans="1:8" ht="34" x14ac:dyDescent="0.2">
      <c r="A3" s="727" t="s">
        <v>1543</v>
      </c>
      <c r="B3" s="470" t="s">
        <v>1545</v>
      </c>
      <c r="C3" s="471" t="s">
        <v>24</v>
      </c>
      <c r="D3" s="471" t="s">
        <v>1551</v>
      </c>
      <c r="E3" s="472" t="s">
        <v>868</v>
      </c>
      <c r="F3" s="473" t="s">
        <v>1786</v>
      </c>
      <c r="H3" s="300" t="s">
        <v>1787</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 spans="1:6" ht="34" x14ac:dyDescent="0.2">
      <c r="B4" s="470" t="s">
        <v>1554</v>
      </c>
      <c r="C4" s="471" t="s">
        <v>1555</v>
      </c>
      <c r="D4" s="471" t="s">
        <v>1558</v>
      </c>
      <c r="E4" s="472" t="s">
        <v>993</v>
      </c>
      <c r="F4" s="473" t="str">
        <f t="shared" ref="F4:F5" si="0">IF(ISBLANK(E4), "", IF(E4="Minor", "Accept", "&lt;OVERWRITE THIS VALUE!&gt;"))</f>
        <v>Accept</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 spans="1:6" ht="15.75" customHeight="1" x14ac:dyDescent="0.2">
      <c r="B5" s="470" t="s">
        <v>1009</v>
      </c>
      <c r="C5" s="470" t="s">
        <v>542</v>
      </c>
      <c r="D5" s="471" t="s">
        <v>1563</v>
      </c>
      <c r="E5" s="472" t="s">
        <v>993</v>
      </c>
      <c r="F5" s="473" t="str">
        <f t="shared" si="0"/>
        <v>Accept</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 spans="1:6" ht="34" x14ac:dyDescent="0.2">
      <c r="B6" s="470" t="s">
        <v>1566</v>
      </c>
      <c r="C6" s="470" t="s">
        <v>282</v>
      </c>
      <c r="D6" s="471" t="s">
        <v>1569</v>
      </c>
      <c r="E6" s="472" t="s">
        <v>840</v>
      </c>
      <c r="F6" s="473" t="s">
        <v>1788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 spans="1:6" ht="34" x14ac:dyDescent="0.2">
      <c r="B7" s="470" t="s">
        <v>1106</v>
      </c>
      <c r="C7" s="470" t="s">
        <v>1572</v>
      </c>
      <c r="D7" s="471" t="s">
        <v>1576</v>
      </c>
      <c r="E7" s="530" t="s">
        <v>840</v>
      </c>
      <c r="F7" s="35" t="s">
        <v>1788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 spans="1:6" ht="34" x14ac:dyDescent="0.2">
      <c r="B8" s="470" t="s">
        <v>1579</v>
      </c>
      <c r="C8" s="470" t="s">
        <v>1580</v>
      </c>
      <c r="D8" s="471" t="s">
        <v>1582</v>
      </c>
      <c r="E8" s="530" t="s">
        <v>840</v>
      </c>
      <c r="F8" s="473" t="s">
        <v>1788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 spans="1:6" ht="34" x14ac:dyDescent="0.2">
      <c r="B9" s="470" t="s">
        <v>1585</v>
      </c>
      <c r="C9" s="531" t="s">
        <v>1586</v>
      </c>
      <c r="D9" s="471" t="s">
        <v>1588</v>
      </c>
      <c r="E9" s="530" t="s">
        <v>868</v>
      </c>
      <c r="F9" s="473" t="s">
        <v>1786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 spans="1:6" ht="34" x14ac:dyDescent="0.2">
      <c r="B10" s="470" t="s">
        <v>1251</v>
      </c>
      <c r="C10" s="474" t="s">
        <v>376</v>
      </c>
      <c r="D10" s="474" t="s">
        <v>1591</v>
      </c>
      <c r="E10" s="475" t="s">
        <v>840</v>
      </c>
      <c r="F10" s="476"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 spans="1:6" ht="51" x14ac:dyDescent="0.2">
      <c r="A11" s="477" t="s">
        <v>1592</v>
      </c>
      <c r="B11" s="478" t="s">
        <v>904</v>
      </c>
      <c r="C11" s="351" t="s">
        <v>151</v>
      </c>
      <c r="D11" s="351" t="s">
        <v>1596</v>
      </c>
      <c r="E11" s="479" t="s">
        <v>868</v>
      </c>
      <c r="F11" s="480"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 spans="1:6" ht="51" x14ac:dyDescent="0.2">
      <c r="B12" s="481" t="s">
        <v>1126</v>
      </c>
      <c r="C12" s="351" t="s">
        <v>598</v>
      </c>
      <c r="D12" s="351" t="s">
        <v>1599</v>
      </c>
      <c r="E12" s="479" t="s">
        <v>993</v>
      </c>
      <c r="F12" s="482" t="str">
        <f>IF(ISBLANK(E12), "", IF(E12="Minor", "Accept", "&lt;OVERWRITE THIS VALUE!&gt;"))</f>
        <v>Accept</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 spans="1:6" ht="51" x14ac:dyDescent="0.2">
      <c r="B13" s="481" t="s">
        <v>845</v>
      </c>
      <c r="C13" s="351" t="s">
        <v>1601</v>
      </c>
      <c r="D13" s="351" t="s">
        <v>1603</v>
      </c>
      <c r="E13" s="479" t="s">
        <v>868</v>
      </c>
      <c r="F13" s="482" t="s">
        <v>1786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 spans="1:6" ht="51" x14ac:dyDescent="0.2">
      <c r="B14" s="481" t="s">
        <v>851</v>
      </c>
      <c r="C14" s="351" t="s">
        <v>476</v>
      </c>
      <c r="D14" s="351" t="s">
        <v>1608</v>
      </c>
      <c r="E14" s="479" t="s">
        <v>840</v>
      </c>
      <c r="F14" s="482"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 spans="1:6" ht="34" x14ac:dyDescent="0.2">
      <c r="B15" s="481" t="s">
        <v>1610</v>
      </c>
      <c r="C15" s="351" t="s">
        <v>461</v>
      </c>
      <c r="D15" s="351" t="s">
        <v>1614</v>
      </c>
      <c r="E15" s="479" t="s">
        <v>880</v>
      </c>
      <c r="F15" s="482" t="s">
        <v>1790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 spans="1:6" ht="68" x14ac:dyDescent="0.2">
      <c r="B16" s="481" t="s">
        <v>981</v>
      </c>
      <c r="C16" s="351" t="s">
        <v>292</v>
      </c>
      <c r="D16" s="351" t="s">
        <v>1622</v>
      </c>
      <c r="E16" s="479" t="s">
        <v>840</v>
      </c>
      <c r="F16" s="480" t="s">
        <v>1788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 spans="1:6" ht="51" x14ac:dyDescent="0.2">
      <c r="B17" s="398" t="s">
        <v>1625</v>
      </c>
      <c r="C17" s="351" t="s">
        <v>452</v>
      </c>
      <c r="D17" s="351" t="s">
        <v>1628</v>
      </c>
      <c r="E17" s="479" t="s">
        <v>840</v>
      </c>
      <c r="F17" s="482" t="s">
        <v>1790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 spans="1:6" ht="68" x14ac:dyDescent="0.2">
      <c r="B18" s="481" t="s">
        <v>1630</v>
      </c>
      <c r="C18" s="351" t="s">
        <v>576</v>
      </c>
      <c r="D18" s="351" t="s">
        <v>1632</v>
      </c>
      <c r="E18" s="479" t="s">
        <v>840</v>
      </c>
      <c r="F18" s="480" t="s">
        <v>1790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 spans="1:6" ht="51" x14ac:dyDescent="0.2">
      <c r="B19" s="481" t="s">
        <v>937</v>
      </c>
      <c r="C19" s="351" t="s">
        <v>527</v>
      </c>
      <c r="D19" s="351" t="s">
        <v>1637</v>
      </c>
      <c r="E19" s="479" t="s">
        <v>880</v>
      </c>
      <c r="F19" s="482" t="s">
        <v>1790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 spans="1:6" ht="34" x14ac:dyDescent="0.2">
      <c r="B20" s="481" t="s">
        <v>1009</v>
      </c>
      <c r="C20" s="351" t="s">
        <v>1640</v>
      </c>
      <c r="D20" s="351" t="s">
        <v>1643</v>
      </c>
      <c r="E20" s="479" t="s">
        <v>840</v>
      </c>
      <c r="F20" s="482"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 spans="1:6" ht="51" x14ac:dyDescent="0.2">
      <c r="B21" s="481" t="s">
        <v>1106</v>
      </c>
      <c r="C21" s="351" t="s">
        <v>1646</v>
      </c>
      <c r="D21" s="351" t="s">
        <v>1649</v>
      </c>
      <c r="E21" s="269" t="s">
        <v>840</v>
      </c>
      <c r="F21" s="482" t="s">
        <v>1788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 spans="1:6" ht="34" x14ac:dyDescent="0.2">
      <c r="B22" s="481" t="s">
        <v>1651</v>
      </c>
      <c r="C22" s="351" t="s">
        <v>469</v>
      </c>
      <c r="D22" s="351" t="s">
        <v>1654</v>
      </c>
      <c r="E22" s="479" t="s">
        <v>840</v>
      </c>
      <c r="F22" s="482"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 spans="1:6" ht="51" x14ac:dyDescent="0.2">
      <c r="B23" s="481" t="s">
        <v>1268</v>
      </c>
      <c r="C23" s="351" t="s">
        <v>274</v>
      </c>
      <c r="D23" s="351" t="s">
        <v>1657</v>
      </c>
      <c r="E23" s="479" t="s">
        <v>840</v>
      </c>
      <c r="F23" s="482"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 spans="1:6" ht="34" x14ac:dyDescent="0.2">
      <c r="B24" s="481" t="s">
        <v>1288</v>
      </c>
      <c r="C24" s="351" t="s">
        <v>227</v>
      </c>
      <c r="D24" s="351" t="s">
        <v>1670</v>
      </c>
      <c r="E24" s="479" t="s">
        <v>840</v>
      </c>
      <c r="F24" s="482" t="s">
        <v>1786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 spans="1:6" ht="34" x14ac:dyDescent="0.2">
      <c r="B25" s="481" t="s">
        <v>1292</v>
      </c>
      <c r="C25" s="351" t="s">
        <v>133</v>
      </c>
      <c r="D25" s="351" t="s">
        <v>1673</v>
      </c>
      <c r="E25" s="479" t="s">
        <v>840</v>
      </c>
      <c r="F25" s="482"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 spans="1:6" ht="34" x14ac:dyDescent="0.2">
      <c r="B26" s="481" t="s">
        <v>1675</v>
      </c>
      <c r="C26" s="351" t="s">
        <v>514</v>
      </c>
      <c r="D26" s="351" t="s">
        <v>1677</v>
      </c>
      <c r="E26" s="479" t="s">
        <v>840</v>
      </c>
      <c r="F26" s="482"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 spans="1:6" ht="51" x14ac:dyDescent="0.2">
      <c r="B27" s="481" t="s">
        <v>1680</v>
      </c>
      <c r="C27" s="351" t="s">
        <v>1681</v>
      </c>
      <c r="D27" s="351" t="s">
        <v>1684</v>
      </c>
      <c r="E27" s="479" t="s">
        <v>840</v>
      </c>
      <c r="F27" s="482"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 spans="1:6" ht="17" x14ac:dyDescent="0.2">
      <c r="B28" s="481" t="s">
        <v>1210</v>
      </c>
      <c r="C28" s="351" t="s">
        <v>367</v>
      </c>
      <c r="D28" s="351" t="s">
        <v>1688</v>
      </c>
      <c r="E28" s="479" t="s">
        <v>880</v>
      </c>
      <c r="F28" s="482"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 spans="1:6" ht="51" x14ac:dyDescent="0.2">
      <c r="A29" s="723" t="s">
        <v>1689</v>
      </c>
      <c r="B29" s="405" t="s">
        <v>904</v>
      </c>
      <c r="C29" s="484" t="s">
        <v>123</v>
      </c>
      <c r="D29" s="484" t="s">
        <v>1692</v>
      </c>
      <c r="E29" s="485" t="s">
        <v>840</v>
      </c>
      <c r="F29" s="486" t="s">
        <v>1788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 spans="1:6" ht="15.75" customHeight="1" x14ac:dyDescent="0.2">
      <c r="B30" s="405" t="s">
        <v>851</v>
      </c>
      <c r="C30" s="484" t="s">
        <v>1694</v>
      </c>
      <c r="D30" s="484" t="s">
        <v>1696</v>
      </c>
      <c r="F30" s="486" t="str">
        <f t="shared" ref="F30" si="1">IF(ISBLANK(E30), "", IF(E30="Minor", "Accept", "&lt;OVERWRITE THIS VALUE!&gt;"))</f>
        <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 spans="1:6" ht="51" x14ac:dyDescent="0.2">
      <c r="B31" s="405" t="s">
        <v>1610</v>
      </c>
      <c r="C31" s="484" t="s">
        <v>384</v>
      </c>
      <c r="D31" s="484" t="s">
        <v>1700</v>
      </c>
      <c r="E31" s="268" t="s">
        <v>868</v>
      </c>
      <c r="F31" s="486" t="s">
        <v>1786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 spans="1:6" ht="34" x14ac:dyDescent="0.2">
      <c r="B32" s="405" t="s">
        <v>981</v>
      </c>
      <c r="C32" s="484" t="s">
        <v>568</v>
      </c>
      <c r="D32" s="484" t="s">
        <v>1696</v>
      </c>
      <c r="E32" s="485" t="s">
        <v>868</v>
      </c>
      <c r="F32" s="486" t="s">
        <v>1786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 spans="1:6" ht="51" x14ac:dyDescent="0.2">
      <c r="B33" s="405" t="s">
        <v>1554</v>
      </c>
      <c r="C33" s="484" t="s">
        <v>502</v>
      </c>
      <c r="D33" s="484" t="s">
        <v>1707</v>
      </c>
      <c r="E33" s="485" t="s">
        <v>840</v>
      </c>
      <c r="F33" s="486"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 spans="1:6" ht="51" x14ac:dyDescent="0.2">
      <c r="B34" s="487" t="s">
        <v>1258</v>
      </c>
      <c r="C34" s="484" t="s">
        <v>481</v>
      </c>
      <c r="D34" s="484" t="s">
        <v>1710</v>
      </c>
      <c r="E34" s="485" t="s">
        <v>840</v>
      </c>
      <c r="F34" s="486"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 spans="1:6" ht="34" x14ac:dyDescent="0.2">
      <c r="B35" s="405" t="s">
        <v>937</v>
      </c>
      <c r="C35" s="484" t="s">
        <v>300</v>
      </c>
      <c r="D35" s="484" t="s">
        <v>1713</v>
      </c>
      <c r="E35" s="485" t="s">
        <v>840</v>
      </c>
      <c r="F35" s="486"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 spans="1:6" ht="34" x14ac:dyDescent="0.2">
      <c r="B36" s="405" t="s">
        <v>1009</v>
      </c>
      <c r="C36" s="484" t="s">
        <v>686</v>
      </c>
      <c r="D36" s="484" t="s">
        <v>1717</v>
      </c>
      <c r="E36" s="268" t="s">
        <v>868</v>
      </c>
      <c r="F36" s="486" t="s">
        <v>1786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 spans="1:6" ht="17" x14ac:dyDescent="0.2">
      <c r="B37" s="405" t="s">
        <v>1720</v>
      </c>
      <c r="C37" s="484" t="s">
        <v>194</v>
      </c>
      <c r="D37" s="484" t="s">
        <v>1722</v>
      </c>
      <c r="E37" s="485" t="s">
        <v>840</v>
      </c>
      <c r="F37" s="486"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 spans="1:6" ht="51" x14ac:dyDescent="0.2">
      <c r="B38" s="405" t="s">
        <v>1268</v>
      </c>
      <c r="C38" s="484" t="s">
        <v>70</v>
      </c>
      <c r="D38" s="484" t="s">
        <v>1726</v>
      </c>
      <c r="E38" s="485" t="s">
        <v>840</v>
      </c>
      <c r="F38" s="486" t="s">
        <v>1788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9" spans="1:6" ht="34" x14ac:dyDescent="0.2">
      <c r="B39" s="405" t="s">
        <v>1229</v>
      </c>
      <c r="C39" s="484" t="s">
        <v>408</v>
      </c>
      <c r="D39" s="484" t="s">
        <v>1728</v>
      </c>
      <c r="E39" s="485" t="s">
        <v>993</v>
      </c>
      <c r="F39" s="486" t="s">
        <v>1791</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0" spans="1:6" ht="34" x14ac:dyDescent="0.2">
      <c r="B40" s="405" t="s">
        <v>1288</v>
      </c>
      <c r="C40" s="484" t="s">
        <v>488</v>
      </c>
      <c r="D40" s="484" t="s">
        <v>1696</v>
      </c>
      <c r="E40" s="485" t="s">
        <v>868</v>
      </c>
      <c r="F40" s="486" t="s">
        <v>1786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1" spans="1:6" ht="15.75" customHeight="1" x14ac:dyDescent="0.2">
      <c r="B41" s="487" t="s">
        <v>1579</v>
      </c>
      <c r="C41" s="484" t="s">
        <v>1736</v>
      </c>
      <c r="D41" s="484" t="s">
        <v>1738</v>
      </c>
      <c r="E41" s="485" t="s">
        <v>880</v>
      </c>
      <c r="F41" s="486" t="s">
        <v>1790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2" spans="1:6" ht="34" x14ac:dyDescent="0.2">
      <c r="B42" s="488" t="s">
        <v>1740</v>
      </c>
      <c r="C42" s="484" t="s">
        <v>329</v>
      </c>
      <c r="D42" s="484" t="s">
        <v>1742</v>
      </c>
      <c r="E42" s="485" t="s">
        <v>868</v>
      </c>
      <c r="F42" s="486"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3" spans="1:6" ht="51" x14ac:dyDescent="0.2">
      <c r="A43" s="725" t="s">
        <v>1744</v>
      </c>
      <c r="B43" s="423" t="s">
        <v>1610</v>
      </c>
      <c r="C43" s="489" t="s">
        <v>613</v>
      </c>
      <c r="D43" s="490" t="s">
        <v>1700</v>
      </c>
      <c r="E43" s="267" t="s">
        <v>840</v>
      </c>
      <c r="F43" s="489"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4" spans="1:6" ht="34" x14ac:dyDescent="0.2">
      <c r="B44" s="491" t="s">
        <v>1545</v>
      </c>
      <c r="C44" s="423" t="s">
        <v>220</v>
      </c>
      <c r="D44" s="423" t="s">
        <v>1551</v>
      </c>
      <c r="E44" s="492" t="s">
        <v>840</v>
      </c>
      <c r="F44" s="493"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5" spans="1:6" ht="34" x14ac:dyDescent="0.2">
      <c r="B45" s="491" t="s">
        <v>869</v>
      </c>
      <c r="C45" s="423" t="s">
        <v>1752</v>
      </c>
      <c r="D45" s="423" t="s">
        <v>1754</v>
      </c>
      <c r="E45" s="492" t="s">
        <v>868</v>
      </c>
      <c r="F45" s="493" t="s">
        <v>1786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6" spans="1:6" ht="17" x14ac:dyDescent="0.2">
      <c r="B46" s="491" t="s">
        <v>1554</v>
      </c>
      <c r="C46" s="423" t="s">
        <v>93</v>
      </c>
      <c r="D46" s="423" t="s">
        <v>1757</v>
      </c>
      <c r="E46" s="492" t="s">
        <v>840</v>
      </c>
      <c r="F46" s="493" t="s">
        <v>1788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7" spans="1:6" ht="34" x14ac:dyDescent="0.2">
      <c r="B47" s="491" t="s">
        <v>1792</v>
      </c>
      <c r="D47" s="423" t="s">
        <v>1793</v>
      </c>
      <c r="F47" s="493" t="str">
        <f>IF(ISBLANK(E47), "", IF(E47="Minor", "Accept", "&lt;OVERWRITE THIS VALUE!&gt;"))</f>
        <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8" spans="1:6" ht="85" x14ac:dyDescent="0.2">
      <c r="B48" s="491" t="s">
        <v>1009</v>
      </c>
      <c r="C48" s="423" t="s">
        <v>1759</v>
      </c>
      <c r="D48" s="423" t="s">
        <v>1761</v>
      </c>
      <c r="E48" s="492" t="s">
        <v>868</v>
      </c>
      <c r="F48" s="493" t="s">
        <v>1786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9" spans="1:6" ht="51" x14ac:dyDescent="0.2">
      <c r="B49" s="491" t="s">
        <v>1566</v>
      </c>
      <c r="C49" s="423" t="s">
        <v>310</v>
      </c>
      <c r="D49" s="423" t="s">
        <v>1765</v>
      </c>
      <c r="E49" s="492" t="s">
        <v>840</v>
      </c>
      <c r="F49" s="493"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0" spans="1:6" ht="102" x14ac:dyDescent="0.2">
      <c r="B50" s="491" t="s">
        <v>1767</v>
      </c>
      <c r="C50" s="491" t="s">
        <v>361</v>
      </c>
      <c r="D50" s="494" t="s">
        <v>1770</v>
      </c>
      <c r="E50" s="492" t="s">
        <v>868</v>
      </c>
      <c r="F50" s="493"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1" spans="1:6" ht="15.75" customHeight="1" x14ac:dyDescent="0.2">
      <c r="B51" s="491" t="s">
        <v>1205</v>
      </c>
      <c r="C51" s="423" t="s">
        <v>384</v>
      </c>
      <c r="D51" s="423" t="s">
        <v>1696</v>
      </c>
      <c r="E51" s="492" t="s">
        <v>840</v>
      </c>
      <c r="F51" s="493" t="s">
        <v>1789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2" spans="1:6" ht="15.75" customHeight="1" x14ac:dyDescent="0.2">
      <c r="B52" s="491" t="s">
        <v>1579</v>
      </c>
      <c r="C52" s="423" t="s">
        <v>264</v>
      </c>
      <c r="D52" s="423" t="s">
        <v>1700</v>
      </c>
      <c r="E52" s="492" t="s">
        <v>868</v>
      </c>
      <c r="F52" s="493" t="s">
        <v>1786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3" spans="1:6" ht="15.75" customHeight="1" x14ac:dyDescent="0.2">
      <c r="B53" s="491" t="s">
        <v>1780</v>
      </c>
      <c r="C53" s="423" t="s">
        <v>535</v>
      </c>
      <c r="D53" s="423" t="s">
        <v>1765</v>
      </c>
      <c r="E53" s="492" t="s">
        <v>868</v>
      </c>
      <c r="F53" s="493" t="s">
        <v>1786</v>
      </c>
    </row>
  </sheetData>
  <mergeCells count="8">
    <mergeCell ref="A29:A41"/>
    <mergeCell ref="A43:A53"/>
    <mergeCell ref="E1:E2"/>
    <mergeCell ref="A3:A9"/>
    <mergeCell ref="A1:A2"/>
    <mergeCell ref="B1:B2"/>
    <mergeCell ref="C1:C2"/>
    <mergeCell ref="D1:D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2879-5BA8-438E-9755-8811807326C8}">
  <dimension ref="A1:G382"/>
  <sheetViews>
    <sheetView zoomScale="91" zoomScaleNormal="85" workbookViewId="0">
      <pane ySplit="1" topLeftCell="A24" activePane="bottomLeft" state="frozen"/>
      <selection pane="bottomLeft" activeCell="F33" sqref="F33"/>
    </sheetView>
  </sheetViews>
  <sheetFormatPr baseColWidth="10" defaultColWidth="8.6640625" defaultRowHeight="15" customHeight="1" x14ac:dyDescent="0.2"/>
  <cols>
    <col min="1" max="1" width="22.5" style="157" customWidth="1"/>
    <col min="2" max="2" width="8.33203125" style="158" customWidth="1"/>
    <col min="3" max="3" width="27.6640625" style="159" customWidth="1"/>
    <col min="4" max="4" width="18" style="160" hidden="1" customWidth="1"/>
    <col min="5" max="5" width="29" style="161" customWidth="1"/>
    <col min="6" max="6" width="32.5" style="162" customWidth="1"/>
    <col min="7" max="7" width="32.6640625" style="345" customWidth="1"/>
  </cols>
  <sheetData>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 spans="1:7" s="139" customFormat="1" ht="32" x14ac:dyDescent="0.2">
      <c r="A1" s="363" t="s">
        <v>0</v>
      </c>
      <c r="B1" s="364" t="s">
        <v>1494</v>
      </c>
      <c r="C1" s="365" t="s">
        <v>823</v>
      </c>
      <c r="D1" s="366" t="s">
        <v>1794</v>
      </c>
      <c r="E1" s="365" t="s">
        <v>1496</v>
      </c>
      <c r="F1" s="367" t="s">
        <v>1795</v>
      </c>
      <c r="G1" s="368" t="s">
        <v>1796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 spans="1:7" ht="16" x14ac:dyDescent="0.2">
      <c r="A2" s="769" t="s">
        <v>12</v>
      </c>
      <c r="B2" s="746" t="s">
        <v>15</v>
      </c>
      <c r="C2" s="772" t="s">
        <v>16</v>
      </c>
      <c r="D2" s="762">
        <v>200000</v>
      </c>
      <c r="E2" s="15" t="s">
        <v>833</v>
      </c>
      <c r="F2" s="306" t="s">
        <v>1797</v>
      </c>
      <c r="G2" s="338">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 spans="1:7" ht="16" x14ac:dyDescent="0.2">
      <c r="E3" s="15" t="s">
        <v>841</v>
      </c>
      <c r="F3" s="306" t="s">
        <v>1798</v>
      </c>
      <c r="G3"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 spans="1:7" ht="16" x14ac:dyDescent="0.2">
      <c r="E4" s="15" t="s">
        <v>845</v>
      </c>
      <c r="F4" s="243" t="s">
        <v>1799</v>
      </c>
      <c r="G4"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 spans="1:7" ht="16" x14ac:dyDescent="0.2">
      <c r="B5" s="746" t="s">
        <v>23</v>
      </c>
      <c r="C5" s="772" t="s">
        <v>24</v>
      </c>
      <c r="D5" s="762">
        <v>200000</v>
      </c>
      <c r="E5" s="15" t="s">
        <v>851</v>
      </c>
      <c r="F5" s="306" t="s">
        <v>1800</v>
      </c>
      <c r="G5"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 spans="1:7" ht="16" x14ac:dyDescent="0.2">
      <c r="E6" s="15" t="s">
        <v>855</v>
      </c>
      <c r="F6" s="306" t="s">
        <v>1801</v>
      </c>
      <c r="G6"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 spans="1:7" ht="32" x14ac:dyDescent="0.2">
      <c r="E7" s="15" t="s">
        <v>860</v>
      </c>
      <c r="F7" s="306" t="s">
        <v>1802</v>
      </c>
      <c r="G7"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 spans="1:7" ht="16" x14ac:dyDescent="0.2">
      <c r="B8" s="746" t="s">
        <v>30</v>
      </c>
      <c r="C8" s="772" t="s">
        <v>31</v>
      </c>
      <c r="D8" s="762">
        <v>100000</v>
      </c>
      <c r="E8" s="15" t="s">
        <v>865</v>
      </c>
      <c r="F8" s="243" t="s">
        <v>1803</v>
      </c>
      <c r="G8" s="338">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 spans="1:7" ht="16" x14ac:dyDescent="0.2">
      <c r="E9" s="15" t="s">
        <v>869</v>
      </c>
      <c r="F9" s="306" t="s">
        <v>1804</v>
      </c>
      <c r="G9"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 spans="1:7" ht="32" x14ac:dyDescent="0.2">
      <c r="E10" s="15" t="s">
        <v>860</v>
      </c>
      <c r="F10" s="306" t="s">
        <v>1805</v>
      </c>
      <c r="G10"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 spans="1:7" ht="16" x14ac:dyDescent="0.2">
      <c r="B11" s="746" t="s">
        <v>39</v>
      </c>
      <c r="C11" s="772" t="s">
        <v>40</v>
      </c>
      <c r="D11" s="762">
        <v>70000</v>
      </c>
      <c r="E11" s="15" t="s">
        <v>1506</v>
      </c>
      <c r="F11" s="306" t="s">
        <v>1806</v>
      </c>
      <c r="G11"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 spans="1:7" ht="16" x14ac:dyDescent="0.2">
      <c r="E12" s="15" t="s">
        <v>833</v>
      </c>
      <c r="F12" s="306" t="s">
        <v>1800</v>
      </c>
      <c r="G12" s="338">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 spans="1:6" ht="16" x14ac:dyDescent="0.2">
      <c r="E13" s="15" t="s">
        <v>884</v>
      </c>
      <c r="F13" s="306" t="s">
        <v>1807</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 spans="1:7" ht="16" x14ac:dyDescent="0.2">
      <c r="B14" s="746" t="s">
        <v>46</v>
      </c>
      <c r="C14" s="772" t="s">
        <v>47</v>
      </c>
      <c r="D14" s="762">
        <v>80000</v>
      </c>
      <c r="E14" s="15" t="s">
        <v>887</v>
      </c>
      <c r="F14" s="306" t="s">
        <v>1808</v>
      </c>
      <c r="G14"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 spans="1:7" ht="16" x14ac:dyDescent="0.2">
      <c r="E15" s="15" t="s">
        <v>891</v>
      </c>
      <c r="F15" s="243" t="s">
        <v>1809</v>
      </c>
      <c r="G15"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 spans="1:7" ht="16" x14ac:dyDescent="0.2">
      <c r="E16" s="15" t="s">
        <v>894</v>
      </c>
      <c r="F16" s="306" t="s">
        <v>1810</v>
      </c>
      <c r="G16"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 spans="1:7" ht="16" x14ac:dyDescent="0.2">
      <c r="B17" s="746" t="s">
        <v>53</v>
      </c>
      <c r="C17" s="772" t="s">
        <v>54</v>
      </c>
      <c r="D17" s="762">
        <v>50000</v>
      </c>
      <c r="E17" s="15" t="s">
        <v>897</v>
      </c>
      <c r="F17" s="306" t="s">
        <v>1811</v>
      </c>
      <c r="G17"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 spans="1:7" ht="16" x14ac:dyDescent="0.2">
      <c r="E18" s="15" t="s">
        <v>833</v>
      </c>
      <c r="F18" s="306" t="s">
        <v>1797</v>
      </c>
      <c r="G18" s="338">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 spans="1:7" ht="16" x14ac:dyDescent="0.2">
      <c r="E19" s="15" t="s">
        <v>845</v>
      </c>
      <c r="F19" s="306" t="s">
        <v>1797</v>
      </c>
      <c r="G19"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 spans="1:7" ht="16" x14ac:dyDescent="0.2">
      <c r="B20" s="746" t="s">
        <v>62</v>
      </c>
      <c r="C20" s="772" t="s">
        <v>63</v>
      </c>
      <c r="D20" s="762">
        <v>80000</v>
      </c>
      <c r="E20" s="15" t="s">
        <v>904</v>
      </c>
      <c r="F20" s="306" t="s">
        <v>1800</v>
      </c>
      <c r="G20" s="338">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 spans="1:7" ht="16" x14ac:dyDescent="0.2">
      <c r="E21" s="15" t="s">
        <v>908</v>
      </c>
      <c r="F21" s="306" t="s">
        <v>1810</v>
      </c>
      <c r="G21"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 spans="1:7" ht="16" x14ac:dyDescent="0.2">
      <c r="E22" s="15" t="s">
        <v>912</v>
      </c>
      <c r="F22" s="306" t="s">
        <v>1807</v>
      </c>
      <c r="G22"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 spans="1:7" ht="16" x14ac:dyDescent="0.2">
      <c r="B23" s="746" t="s">
        <v>69</v>
      </c>
      <c r="C23" s="772" t="s">
        <v>70</v>
      </c>
      <c r="D23" s="762">
        <v>80000</v>
      </c>
      <c r="E23" s="15" t="s">
        <v>916</v>
      </c>
      <c r="F23" s="306" t="s">
        <v>1800</v>
      </c>
      <c r="G23"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 spans="1:7" ht="16" x14ac:dyDescent="0.2">
      <c r="E24" s="15" t="s">
        <v>920</v>
      </c>
      <c r="F24" s="306">
        <v>6.3</v>
      </c>
      <c r="G24"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 spans="1:7" ht="16" x14ac:dyDescent="0.2">
      <c r="E25" s="15" t="s">
        <v>924</v>
      </c>
      <c r="F25" s="306" t="s">
        <v>1812</v>
      </c>
      <c r="G25"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 spans="1:7" ht="16" x14ac:dyDescent="0.2">
      <c r="B26" s="746" t="s">
        <v>76</v>
      </c>
      <c r="C26" s="772" t="s">
        <v>77</v>
      </c>
      <c r="D26" s="762">
        <v>60000</v>
      </c>
      <c r="E26" s="15" t="s">
        <v>928</v>
      </c>
      <c r="F26" s="243" t="s">
        <v>1813</v>
      </c>
      <c r="G26"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 spans="1:7" ht="16" x14ac:dyDescent="0.2">
      <c r="E27" s="15" t="s">
        <v>932</v>
      </c>
      <c r="F27" s="306" t="s">
        <v>1800</v>
      </c>
      <c r="G27" s="338">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 spans="1:7" ht="16" x14ac:dyDescent="0.2">
      <c r="E28" s="15" t="s">
        <v>935</v>
      </c>
      <c r="F28" s="243" t="s">
        <v>1809</v>
      </c>
      <c r="G28"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 spans="1:7" ht="96" customHeight="1" x14ac:dyDescent="0.2">
      <c r="B29" s="746" t="s">
        <v>85</v>
      </c>
      <c r="C29" s="772" t="s">
        <v>86</v>
      </c>
      <c r="D29" s="762">
        <v>100000</v>
      </c>
      <c r="E29" s="15" t="s">
        <v>937</v>
      </c>
      <c r="F29" s="306" t="s">
        <v>1814</v>
      </c>
      <c r="G29"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 spans="1:7" ht="32" x14ac:dyDescent="0.2">
      <c r="E30" s="15" t="s">
        <v>940</v>
      </c>
      <c r="F30" s="306" t="s">
        <v>1815</v>
      </c>
      <c r="G30"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 spans="1:7" ht="16" x14ac:dyDescent="0.2">
      <c r="E31" s="15" t="s">
        <v>944</v>
      </c>
      <c r="F31" s="306" t="s">
        <v>1816</v>
      </c>
      <c r="G31"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 spans="1:7" ht="32" x14ac:dyDescent="0.2">
      <c r="B32" s="746" t="s">
        <v>92</v>
      </c>
      <c r="C32" s="772" t="s">
        <v>93</v>
      </c>
      <c r="D32" s="762">
        <v>90000</v>
      </c>
      <c r="E32" s="15" t="s">
        <v>904</v>
      </c>
      <c r="F32" s="306" t="s">
        <v>1817</v>
      </c>
      <c r="G32" s="338">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 spans="1:7" ht="32" x14ac:dyDescent="0.2">
      <c r="E33" s="15" t="s">
        <v>950</v>
      </c>
      <c r="F33" s="306" t="s">
        <v>1817</v>
      </c>
      <c r="G33"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 spans="1:7" ht="16" x14ac:dyDescent="0.2">
      <c r="E34" s="15" t="s">
        <v>935</v>
      </c>
      <c r="F34" s="243" t="s">
        <v>1809</v>
      </c>
      <c r="G34"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 spans="1:7" ht="48" customHeight="1" x14ac:dyDescent="0.2">
      <c r="B35" s="746" t="s">
        <v>99</v>
      </c>
      <c r="C35" s="772" t="s">
        <v>100</v>
      </c>
      <c r="D35" s="762">
        <v>100000</v>
      </c>
      <c r="E35" s="15" t="s">
        <v>845</v>
      </c>
      <c r="F35" s="306" t="s">
        <v>1800</v>
      </c>
      <c r="G35" s="338">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 spans="1:7" ht="16" x14ac:dyDescent="0.2">
      <c r="E36" s="15" t="s">
        <v>960</v>
      </c>
      <c r="F36" s="306" t="s">
        <v>1818</v>
      </c>
      <c r="G36"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 spans="1:7" ht="16" x14ac:dyDescent="0.2">
      <c r="E37" s="15" t="s">
        <v>908</v>
      </c>
      <c r="F37" s="306" t="s">
        <v>1819</v>
      </c>
      <c r="G37"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 spans="1:7" ht="16" x14ac:dyDescent="0.2">
      <c r="B38" s="746" t="s">
        <v>108</v>
      </c>
      <c r="C38" s="772" t="s">
        <v>109</v>
      </c>
      <c r="D38" s="762">
        <v>150000</v>
      </c>
      <c r="E38" s="15" t="s">
        <v>916</v>
      </c>
      <c r="F38" s="306" t="s">
        <v>1797</v>
      </c>
      <c r="G38"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9" spans="1:7" ht="16" x14ac:dyDescent="0.2">
      <c r="E39" s="15" t="s">
        <v>935</v>
      </c>
      <c r="F39" s="306" t="s">
        <v>1820</v>
      </c>
      <c r="G39"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0" spans="1:7" ht="16" x14ac:dyDescent="0.2">
      <c r="E40" s="15" t="s">
        <v>884</v>
      </c>
      <c r="F40" s="306" t="s">
        <v>1821</v>
      </c>
      <c r="G40"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1" spans="1:7" ht="48" customHeight="1" x14ac:dyDescent="0.2">
      <c r="B41" s="746" t="s">
        <v>115</v>
      </c>
      <c r="C41" s="772" t="s">
        <v>116</v>
      </c>
      <c r="D41" s="762">
        <v>150000</v>
      </c>
      <c r="E41" s="15" t="s">
        <v>975</v>
      </c>
      <c r="F41" s="306" t="s">
        <v>1797</v>
      </c>
      <c r="G41"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2" spans="1:7" ht="16" x14ac:dyDescent="0.2">
      <c r="E42" s="15" t="s">
        <v>908</v>
      </c>
      <c r="F42" s="306" t="s">
        <v>1822</v>
      </c>
      <c r="G42"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3" spans="1:7" ht="16" x14ac:dyDescent="0.2">
      <c r="E43" s="15" t="s">
        <v>981</v>
      </c>
      <c r="F43" s="306" t="s">
        <v>1806</v>
      </c>
      <c r="G43"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4" spans="1:7" ht="16" x14ac:dyDescent="0.2">
      <c r="B44" s="746" t="s">
        <v>122</v>
      </c>
      <c r="C44" s="772" t="s">
        <v>123</v>
      </c>
      <c r="D44" s="762">
        <v>100000</v>
      </c>
      <c r="E44" s="15" t="s">
        <v>932</v>
      </c>
      <c r="F44" s="306" t="s">
        <v>1823</v>
      </c>
      <c r="G44" s="338">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5" spans="1:7" ht="32" x14ac:dyDescent="0.2">
      <c r="E45" s="305" t="s">
        <v>987</v>
      </c>
      <c r="F45" s="306" t="s">
        <v>1817</v>
      </c>
      <c r="G45" s="338">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6" spans="1:7" ht="32" x14ac:dyDescent="0.2">
      <c r="E46" s="304" t="s">
        <v>989</v>
      </c>
      <c r="F46" s="306" t="s">
        <v>1821</v>
      </c>
      <c r="G46" s="338">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8" spans="1:7" s="108" customFormat="1" ht="16" x14ac:dyDescent="0.2">
      <c r="A48" s="678" t="s">
        <v>129</v>
      </c>
      <c r="B48" s="751" t="s">
        <v>132</v>
      </c>
      <c r="C48" s="764" t="s">
        <v>133</v>
      </c>
      <c r="D48" s="762">
        <v>200000</v>
      </c>
      <c r="E48" s="313" t="s">
        <v>937</v>
      </c>
      <c r="F48" s="314" t="s">
        <v>1824</v>
      </c>
      <c r="G48" s="340">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9" spans="1:7" s="108" customFormat="1" ht="16" x14ac:dyDescent="0.2">
      <c r="E49" s="313" t="s">
        <v>851</v>
      </c>
      <c r="F49" s="314" t="s">
        <v>1825</v>
      </c>
      <c r="G49" s="340">
        <v>13000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0" spans="1:7" s="108" customFormat="1" ht="16" x14ac:dyDescent="0.2">
      <c r="E50" s="313" t="s">
        <v>1001</v>
      </c>
      <c r="F50" s="314" t="s">
        <v>1826</v>
      </c>
      <c r="G50" s="340">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1" spans="1:7" s="108" customFormat="1" ht="16" x14ac:dyDescent="0.2">
      <c r="B51" s="751" t="s">
        <v>140</v>
      </c>
      <c r="C51" s="764" t="s">
        <v>141</v>
      </c>
      <c r="D51" s="762">
        <v>100000</v>
      </c>
      <c r="E51" s="313" t="s">
        <v>1005</v>
      </c>
      <c r="F51" s="314" t="s">
        <v>1827</v>
      </c>
      <c r="G51" s="340">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2" spans="1:7" s="108" customFormat="1" ht="16" x14ac:dyDescent="0.2">
      <c r="E52" s="313" t="s">
        <v>1009</v>
      </c>
      <c r="F52" s="314" t="s">
        <v>1828</v>
      </c>
      <c r="G52" s="340">
        <v>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3" spans="1:7" s="108" customFormat="1" ht="16" x14ac:dyDescent="0.2">
      <c r="E53" s="313" t="s">
        <v>1014</v>
      </c>
      <c r="F53" s="314" t="s">
        <v>1829</v>
      </c>
      <c r="G53" s="340">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4" spans="1:7" s="108" customFormat="1" ht="32" x14ac:dyDescent="0.2">
      <c r="B54" s="751" t="s">
        <v>150</v>
      </c>
      <c r="C54" s="764" t="s">
        <v>151</v>
      </c>
      <c r="D54" s="762">
        <v>200000</v>
      </c>
      <c r="E54" s="313" t="s">
        <v>1508</v>
      </c>
      <c r="F54" s="314" t="s">
        <v>1830</v>
      </c>
      <c r="G54"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5" spans="1:7" s="108" customFormat="1" ht="16" x14ac:dyDescent="0.2">
      <c r="E55" s="313" t="s">
        <v>1021</v>
      </c>
      <c r="F55" s="314" t="s">
        <v>1831</v>
      </c>
      <c r="G55"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6" spans="1:7" s="108" customFormat="1" ht="16" x14ac:dyDescent="0.2">
      <c r="E56" s="313" t="s">
        <v>1026</v>
      </c>
      <c r="F56" s="314" t="s">
        <v>1832</v>
      </c>
      <c r="G56" s="340">
        <v>22000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7" spans="1:7" s="108" customFormat="1" ht="16" x14ac:dyDescent="0.2">
      <c r="B57" s="751" t="s">
        <v>158</v>
      </c>
      <c r="C57" s="764" t="s">
        <v>159</v>
      </c>
      <c r="D57" s="762">
        <v>150000</v>
      </c>
      <c r="E57" s="313" t="s">
        <v>1030</v>
      </c>
      <c r="F57" s="314" t="s">
        <v>1833</v>
      </c>
      <c r="G57" s="340">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8" spans="1:7" s="108" customFormat="1" ht="16" x14ac:dyDescent="0.2">
      <c r="E58" s="313" t="s">
        <v>937</v>
      </c>
      <c r="F58" s="314" t="s">
        <v>1824</v>
      </c>
      <c r="G58" s="340">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9" spans="1:7" s="108" customFormat="1" ht="27.5" customHeight="1" x14ac:dyDescent="0.2">
      <c r="E59" s="313" t="s">
        <v>1037</v>
      </c>
      <c r="F59" s="314" t="s">
        <v>1834</v>
      </c>
      <c r="G59" s="340">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0" spans="1:7" s="108" customFormat="1" ht="42.75" customHeight="1" x14ac:dyDescent="0.2">
      <c r="B60" s="751" t="s">
        <v>168</v>
      </c>
      <c r="C60" s="764" t="s">
        <v>169</v>
      </c>
      <c r="D60" s="762">
        <v>150000</v>
      </c>
      <c r="E60" s="313" t="s">
        <v>1014</v>
      </c>
      <c r="F60" s="314" t="s">
        <v>1829</v>
      </c>
      <c r="G60" s="340">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1" spans="1:7" s="108" customFormat="1" ht="32" customHeight="1" x14ac:dyDescent="0.2">
      <c r="E61" s="314" t="s">
        <v>1045</v>
      </c>
      <c r="F61" s="314" t="s">
        <v>1830</v>
      </c>
      <c r="G61"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2" spans="1:7" s="108" customFormat="1" ht="27" customHeight="1" x14ac:dyDescent="0.2">
      <c r="E62" s="313" t="s">
        <v>1048</v>
      </c>
      <c r="F62" s="314" t="s">
        <v>1832</v>
      </c>
      <c r="G62" s="340">
        <v>22000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3" spans="1:7" s="108" customFormat="1" ht="29" customHeight="1" x14ac:dyDescent="0.2">
      <c r="B63" s="751" t="s">
        <v>175</v>
      </c>
      <c r="C63" s="764" t="s">
        <v>176</v>
      </c>
      <c r="D63" s="762">
        <v>180000</v>
      </c>
      <c r="E63" s="313" t="s">
        <v>908</v>
      </c>
      <c r="F63" s="314" t="s">
        <v>1835</v>
      </c>
      <c r="G63"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4" spans="1:7" s="108" customFormat="1" ht="16" x14ac:dyDescent="0.2">
      <c r="E64" s="313" t="s">
        <v>1054</v>
      </c>
      <c r="F64" s="314" t="s">
        <v>1824</v>
      </c>
      <c r="G64" s="340">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5" spans="1:7" s="108" customFormat="1" ht="16" x14ac:dyDescent="0.2">
      <c r="E65" s="313" t="s">
        <v>1058</v>
      </c>
      <c r="F65" s="314" t="s">
        <v>1832</v>
      </c>
      <c r="G65" s="340">
        <v>22000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6" spans="1:7" s="108" customFormat="1" ht="16" x14ac:dyDescent="0.2">
      <c r="B66" s="751" t="s">
        <v>183</v>
      </c>
      <c r="C66" s="764" t="s">
        <v>184</v>
      </c>
      <c r="D66" s="762">
        <v>300000</v>
      </c>
      <c r="E66" s="313" t="s">
        <v>1509</v>
      </c>
      <c r="F66" s="314" t="s">
        <v>1836</v>
      </c>
      <c r="G66" s="340">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7" spans="1:7" s="108" customFormat="1" ht="16" x14ac:dyDescent="0.2">
      <c r="E67" s="318" t="s">
        <v>1510</v>
      </c>
      <c r="F67" s="314" t="s">
        <v>1837</v>
      </c>
      <c r="G67"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8" spans="1:7" s="108" customFormat="1" ht="32" x14ac:dyDescent="0.2">
      <c r="E68" s="319" t="s">
        <v>1511</v>
      </c>
      <c r="F68" s="314" t="s">
        <v>1830</v>
      </c>
      <c r="G68"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9" spans="1:7" s="108" customFormat="1" ht="16" x14ac:dyDescent="0.2">
      <c r="B69" s="751" t="s">
        <v>193</v>
      </c>
      <c r="C69" s="764" t="s">
        <v>194</v>
      </c>
      <c r="D69" s="762">
        <v>120000</v>
      </c>
      <c r="E69" s="319" t="s">
        <v>937</v>
      </c>
      <c r="F69" s="314" t="s">
        <v>1838</v>
      </c>
      <c r="G69" s="340">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0" spans="1:7" s="108" customFormat="1" ht="16" x14ac:dyDescent="0.2">
      <c r="E70" s="320" t="s">
        <v>1075</v>
      </c>
      <c r="F70" s="314" t="s">
        <v>1839</v>
      </c>
      <c r="G70"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1" spans="1:7" s="108" customFormat="1" ht="16" x14ac:dyDescent="0.2">
      <c r="E71" s="313" t="s">
        <v>1078</v>
      </c>
      <c r="F71" s="314" t="s">
        <v>1840</v>
      </c>
      <c r="G71" s="340">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2" spans="1:7" s="108" customFormat="1" ht="16" x14ac:dyDescent="0.2">
      <c r="B72" s="751" t="s">
        <v>201</v>
      </c>
      <c r="C72" s="764" t="s">
        <v>202</v>
      </c>
      <c r="D72" s="762">
        <v>130000</v>
      </c>
      <c r="E72" s="313" t="s">
        <v>1081</v>
      </c>
      <c r="F72" s="314" t="s">
        <v>1829</v>
      </c>
      <c r="G72" s="340">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3" spans="1:7" s="108" customFormat="1" ht="16" x14ac:dyDescent="0.2">
      <c r="E73" s="313" t="s">
        <v>904</v>
      </c>
      <c r="F73" s="314" t="s">
        <v>1830</v>
      </c>
      <c r="G73"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4" spans="1:7" s="108" customFormat="1" ht="16" x14ac:dyDescent="0.2">
      <c r="E74" s="313" t="s">
        <v>1026</v>
      </c>
      <c r="F74" s="314" t="s">
        <v>1832</v>
      </c>
      <c r="G74" s="340">
        <v>22000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5" spans="1:7" s="108" customFormat="1" ht="32" x14ac:dyDescent="0.2">
      <c r="B75" s="751" t="s">
        <v>211</v>
      </c>
      <c r="C75" s="764" t="s">
        <v>212</v>
      </c>
      <c r="D75" s="762">
        <v>100000</v>
      </c>
      <c r="E75" s="313" t="s">
        <v>1089</v>
      </c>
      <c r="F75" s="314" t="s">
        <v>1841</v>
      </c>
      <c r="G75" s="340">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6" spans="1:7" s="108" customFormat="1" ht="32" x14ac:dyDescent="0.2">
      <c r="E76" s="313" t="s">
        <v>1092</v>
      </c>
      <c r="F76" s="314" t="s">
        <v>1830</v>
      </c>
      <c r="G76"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7" spans="1:7" s="108" customFormat="1" ht="16" x14ac:dyDescent="0.2">
      <c r="E77" s="313" t="s">
        <v>1014</v>
      </c>
      <c r="F77" s="314" t="s">
        <v>1829</v>
      </c>
      <c r="G77" s="340">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8" spans="1:7" s="108" customFormat="1" ht="16" x14ac:dyDescent="0.2">
      <c r="B78" s="751" t="s">
        <v>219</v>
      </c>
      <c r="C78" s="764" t="s">
        <v>220</v>
      </c>
      <c r="D78" s="762">
        <v>90000</v>
      </c>
      <c r="E78" s="313" t="s">
        <v>937</v>
      </c>
      <c r="F78" s="314" t="s">
        <v>1824</v>
      </c>
      <c r="G78" s="340">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9" spans="1:7" s="108" customFormat="1" ht="16" x14ac:dyDescent="0.2">
      <c r="E79" s="313" t="s">
        <v>1512</v>
      </c>
      <c r="F79" s="314" t="s">
        <v>1842</v>
      </c>
      <c r="G79"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0" spans="1:7" s="108" customFormat="1" ht="16" x14ac:dyDescent="0.2">
      <c r="E80" s="313" t="s">
        <v>1026</v>
      </c>
      <c r="F80" s="314" t="s">
        <v>1832</v>
      </c>
      <c r="G80" s="340">
        <v>22000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1" spans="1:7" s="108" customFormat="1" ht="16" x14ac:dyDescent="0.2">
      <c r="B81" s="751" t="s">
        <v>226</v>
      </c>
      <c r="C81" s="764" t="s">
        <v>227</v>
      </c>
      <c r="D81" s="762">
        <v>160000</v>
      </c>
      <c r="E81" s="313" t="s">
        <v>1106</v>
      </c>
      <c r="F81" s="314" t="s">
        <v>1843</v>
      </c>
      <c r="G81"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2" spans="1:7" s="108" customFormat="1" ht="32" x14ac:dyDescent="0.2">
      <c r="E82" s="321" t="s">
        <v>1513</v>
      </c>
      <c r="F82" s="314" t="s">
        <v>1830</v>
      </c>
      <c r="G82"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3" spans="1:7" s="108" customFormat="1" ht="16" x14ac:dyDescent="0.2">
      <c r="E83" s="321" t="s">
        <v>1114</v>
      </c>
      <c r="F83" s="322" t="s">
        <v>1844</v>
      </c>
      <c r="G83" s="340">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5" spans="1:7" s="108" customFormat="1" ht="62.25" customHeight="1" x14ac:dyDescent="0.2">
      <c r="A85" s="678" t="s">
        <v>234</v>
      </c>
      <c r="B85" s="312" t="s">
        <v>237</v>
      </c>
      <c r="C85" s="748" t="s">
        <v>238</v>
      </c>
      <c r="D85" s="754">
        <v>100000</v>
      </c>
      <c r="E85" s="372" t="s">
        <v>937</v>
      </c>
      <c r="F85" s="322" t="s">
        <v>1845</v>
      </c>
      <c r="G85"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6" spans="1:7" s="108" customFormat="1" ht="16" x14ac:dyDescent="0.2">
      <c r="E86" s="372" t="s">
        <v>981</v>
      </c>
      <c r="F86" s="322" t="s">
        <v>1846</v>
      </c>
      <c r="G86" s="340">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7" spans="1:7" s="108" customFormat="1" ht="16" x14ac:dyDescent="0.2">
      <c r="E87" s="374" t="s">
        <v>1122</v>
      </c>
      <c r="F87" s="322" t="s">
        <v>1847</v>
      </c>
      <c r="G87" s="340">
        <v>9000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8" spans="1:7" s="108" customFormat="1" ht="16" x14ac:dyDescent="0.2">
      <c r="B88" s="751" t="s">
        <v>245</v>
      </c>
      <c r="C88" s="748" t="s">
        <v>246</v>
      </c>
      <c r="D88" s="757">
        <v>200000</v>
      </c>
      <c r="E88" s="375" t="s">
        <v>1126</v>
      </c>
      <c r="F88" s="322" t="s">
        <v>1848</v>
      </c>
      <c r="G88"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9" spans="1:7" s="108" customFormat="1" ht="91.5" customHeight="1" x14ac:dyDescent="0.2">
      <c r="E89" s="376" t="s">
        <v>932</v>
      </c>
      <c r="F89" s="322" t="s">
        <v>1849</v>
      </c>
      <c r="G89"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0" spans="1:7" s="108" customFormat="1" ht="16" x14ac:dyDescent="0.2">
      <c r="E90" s="377" t="s">
        <v>912</v>
      </c>
      <c r="F90" s="322" t="s">
        <v>1850</v>
      </c>
      <c r="G90" s="340">
        <v>16000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1" spans="1:7" s="108" customFormat="1" ht="16" x14ac:dyDescent="0.2">
      <c r="B91" s="751" t="s">
        <v>255</v>
      </c>
      <c r="C91" s="748" t="s">
        <v>256</v>
      </c>
      <c r="D91" s="754">
        <v>80000</v>
      </c>
      <c r="E91" s="372" t="s">
        <v>904</v>
      </c>
      <c r="F91" s="322" t="s">
        <v>1851</v>
      </c>
      <c r="G91" s="340">
        <v>7200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2" spans="1:7" s="108" customFormat="1" ht="16" x14ac:dyDescent="0.2">
      <c r="E92" s="377" t="s">
        <v>1122</v>
      </c>
      <c r="F92" s="322" t="s">
        <v>1847</v>
      </c>
      <c r="G92" s="340">
        <v>7200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3" spans="1:7" s="108" customFormat="1" ht="16" x14ac:dyDescent="0.2">
      <c r="E93" s="372" t="s">
        <v>1140</v>
      </c>
      <c r="F93" s="322" t="s">
        <v>1852</v>
      </c>
      <c r="G93"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4" spans="1:7" s="108" customFormat="1" ht="16" x14ac:dyDescent="0.2">
      <c r="B94" s="751" t="s">
        <v>263</v>
      </c>
      <c r="C94" s="748" t="s">
        <v>264</v>
      </c>
      <c r="D94" s="759">
        <v>50000</v>
      </c>
      <c r="E94" s="377" t="s">
        <v>912</v>
      </c>
      <c r="F94" s="322" t="s">
        <v>1850</v>
      </c>
      <c r="G94" s="340">
        <v>4000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5" spans="1:7" s="108" customFormat="1" ht="43.5" customHeight="1" x14ac:dyDescent="0.2">
      <c r="E95" s="372" t="s">
        <v>1146</v>
      </c>
      <c r="F95" s="322" t="s">
        <v>1853</v>
      </c>
      <c r="G95" s="340">
        <v>4500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6" spans="1:7" s="108" customFormat="1" ht="61.5" customHeight="1" x14ac:dyDescent="0.2">
      <c r="E96" s="377" t="s">
        <v>937</v>
      </c>
      <c r="F96" s="322" t="s">
        <v>1845</v>
      </c>
      <c r="G96" s="340">
        <v>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7" spans="1:7" s="108" customFormat="1" ht="16" x14ac:dyDescent="0.2">
      <c r="B97" s="751" t="s">
        <v>273</v>
      </c>
      <c r="C97" s="748" t="s">
        <v>274</v>
      </c>
      <c r="D97" s="759">
        <v>120000</v>
      </c>
      <c r="E97" s="372" t="s">
        <v>904</v>
      </c>
      <c r="F97" s="322" t="s">
        <v>1851</v>
      </c>
      <c r="G97" s="340">
        <v>10800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8" spans="1:7" s="108" customFormat="1" ht="16" x14ac:dyDescent="0.2">
      <c r="E98" s="377" t="s">
        <v>912</v>
      </c>
      <c r="F98" s="322" t="s">
        <v>1850</v>
      </c>
      <c r="G98" s="340">
        <v>9600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9" spans="1:7" s="108" customFormat="1" ht="16" x14ac:dyDescent="0.2">
      <c r="E99" s="372" t="s">
        <v>1140</v>
      </c>
      <c r="F99" s="322" t="s">
        <v>1852</v>
      </c>
      <c r="G99" s="340">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0" spans="1:7" s="108" customFormat="1" ht="16" x14ac:dyDescent="0.2">
      <c r="B100" s="751" t="s">
        <v>281</v>
      </c>
      <c r="C100" s="748" t="s">
        <v>282</v>
      </c>
      <c r="D100" s="759">
        <v>90000</v>
      </c>
      <c r="E100" s="377" t="s">
        <v>937</v>
      </c>
      <c r="F100" s="322" t="s">
        <v>1845</v>
      </c>
      <c r="G100" s="340">
        <v>9000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1" spans="1:7" s="108" customFormat="1" ht="16" x14ac:dyDescent="0.2">
      <c r="E101" s="372" t="s">
        <v>1146</v>
      </c>
      <c r="F101" s="322" t="s">
        <v>1853</v>
      </c>
      <c r="G101" s="340">
        <v>8100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2" spans="1:7" s="108" customFormat="1" ht="16" x14ac:dyDescent="0.2">
      <c r="E102" s="372" t="s">
        <v>1160</v>
      </c>
      <c r="F102" s="322" t="s">
        <v>1854</v>
      </c>
      <c r="G102" s="340">
        <v>6750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3" spans="1:7" s="108" customFormat="1" ht="16" x14ac:dyDescent="0.2">
      <c r="B103" s="751" t="s">
        <v>291</v>
      </c>
      <c r="C103" s="748" t="s">
        <v>292</v>
      </c>
      <c r="D103" s="759">
        <v>100000</v>
      </c>
      <c r="E103" s="377" t="s">
        <v>937</v>
      </c>
      <c r="F103" s="322" t="s">
        <v>1845</v>
      </c>
      <c r="G103"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4" spans="1:7" s="108" customFormat="1" ht="16" x14ac:dyDescent="0.2">
      <c r="E104" s="372" t="s">
        <v>981</v>
      </c>
      <c r="F104" s="322" t="s">
        <v>1846</v>
      </c>
      <c r="G104" s="340">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5" spans="1:7" s="108" customFormat="1" ht="16" x14ac:dyDescent="0.2">
      <c r="E105" s="377" t="s">
        <v>1122</v>
      </c>
      <c r="F105" s="322" t="s">
        <v>1847</v>
      </c>
      <c r="G105" s="340">
        <v>9000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6" spans="1:7" s="108" customFormat="1" ht="16" x14ac:dyDescent="0.2">
      <c r="B106" s="751" t="s">
        <v>299</v>
      </c>
      <c r="C106" s="748" t="s">
        <v>300</v>
      </c>
      <c r="D106" s="759">
        <v>80000</v>
      </c>
      <c r="E106" s="377" t="s">
        <v>937</v>
      </c>
      <c r="F106" s="322" t="s">
        <v>1845</v>
      </c>
      <c r="G106" s="340">
        <v>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7" spans="1:7" s="108" customFormat="1" ht="16" x14ac:dyDescent="0.2">
      <c r="E107" s="372" t="s">
        <v>1146</v>
      </c>
      <c r="F107" s="322" t="s">
        <v>1853</v>
      </c>
      <c r="G107" s="340">
        <v>7200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8" spans="1:7" s="108" customFormat="1" ht="16" x14ac:dyDescent="0.2">
      <c r="E108" s="377" t="s">
        <v>912</v>
      </c>
      <c r="F108" s="322" t="s">
        <v>1850</v>
      </c>
      <c r="G108" s="340">
        <v>6400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9" spans="1:7" s="108" customFormat="1" ht="16" x14ac:dyDescent="0.2">
      <c r="B109" s="751" t="s">
        <v>309</v>
      </c>
      <c r="C109" s="748" t="s">
        <v>310</v>
      </c>
      <c r="D109" s="759">
        <v>120000</v>
      </c>
      <c r="E109" s="372" t="s">
        <v>904</v>
      </c>
      <c r="F109" s="322" t="s">
        <v>1851</v>
      </c>
      <c r="G109" s="340">
        <v>10800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0" spans="1:7" s="108" customFormat="1" ht="16" x14ac:dyDescent="0.2">
      <c r="E110" s="372" t="s">
        <v>981</v>
      </c>
      <c r="F110" s="322" t="s">
        <v>1846</v>
      </c>
      <c r="G110" s="340">
        <v>14400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1" spans="1:7" s="108" customFormat="1" ht="16" x14ac:dyDescent="0.2">
      <c r="E111" s="372" t="s">
        <v>1026</v>
      </c>
      <c r="F111" s="322" t="s">
        <v>1855</v>
      </c>
      <c r="G111" s="340">
        <v>9000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2" spans="1:7" s="108" customFormat="1" ht="16" x14ac:dyDescent="0.2">
      <c r="B112" s="751" t="s">
        <v>317</v>
      </c>
      <c r="C112" s="748" t="s">
        <v>318</v>
      </c>
      <c r="D112" s="759">
        <v>100000</v>
      </c>
      <c r="E112" s="377" t="s">
        <v>937</v>
      </c>
      <c r="F112" s="322" t="s">
        <v>1845</v>
      </c>
      <c r="G112"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3" spans="1:7" s="108" customFormat="1" ht="16" x14ac:dyDescent="0.2">
      <c r="E113" s="549" t="s">
        <v>912</v>
      </c>
      <c r="F113" s="550" t="s">
        <v>1850</v>
      </c>
      <c r="G113" s="551">
        <v>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4" spans="1:7" s="108" customFormat="1" ht="16" x14ac:dyDescent="0.2">
      <c r="E114" s="375" t="s">
        <v>1146</v>
      </c>
      <c r="F114" s="314" t="s">
        <v>1853</v>
      </c>
      <c r="G114" s="340">
        <v>9000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6" spans="1:7" s="108" customFormat="1" ht="16" x14ac:dyDescent="0.2">
      <c r="A116" s="668" t="s">
        <v>325</v>
      </c>
      <c r="B116" s="743" t="s">
        <v>328</v>
      </c>
      <c r="C116" s="675" t="s">
        <v>329</v>
      </c>
      <c r="D116" s="745">
        <v>200000</v>
      </c>
      <c r="E116" s="378" t="s">
        <v>1186</v>
      </c>
      <c r="F116" s="373" t="s">
        <v>1856</v>
      </c>
      <c r="G116" s="379">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7" spans="1:7" s="108" customFormat="1" ht="16" x14ac:dyDescent="0.2">
      <c r="E117" s="378" t="s">
        <v>1189</v>
      </c>
      <c r="F117" s="373" t="s">
        <v>1857</v>
      </c>
      <c r="G117" s="379">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8" spans="1:7" s="108" customFormat="1" ht="16" x14ac:dyDescent="0.2">
      <c r="B118" s="743" t="s">
        <v>336</v>
      </c>
      <c r="C118" s="744" t="s">
        <v>337</v>
      </c>
      <c r="D118" s="745">
        <v>150000</v>
      </c>
      <c r="E118" s="378" t="s">
        <v>1192</v>
      </c>
      <c r="F118" s="373" t="s">
        <v>1858</v>
      </c>
      <c r="G118" s="379">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9" spans="1:7" s="108" customFormat="1" ht="16" x14ac:dyDescent="0.2">
      <c r="E119" s="378" t="s">
        <v>1195</v>
      </c>
      <c r="F119" s="373" t="s">
        <v>1859</v>
      </c>
      <c r="G119" s="379">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0" spans="1:7" s="108" customFormat="1" ht="16" x14ac:dyDescent="0.2">
      <c r="B120" s="743" t="s">
        <v>343</v>
      </c>
      <c r="C120" s="744" t="s">
        <v>344</v>
      </c>
      <c r="D120" s="745">
        <v>300000</v>
      </c>
      <c r="E120" s="378" t="s">
        <v>1197</v>
      </c>
      <c r="F120" s="373" t="s">
        <v>1860</v>
      </c>
      <c r="G120" s="379">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1" spans="1:7" s="108" customFormat="1" ht="16" x14ac:dyDescent="0.2">
      <c r="E121" s="378" t="s">
        <v>1201</v>
      </c>
      <c r="F121" s="373" t="s">
        <v>1861</v>
      </c>
      <c r="G121" s="379">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2" spans="1:7" s="108" customFormat="1" ht="16" x14ac:dyDescent="0.2">
      <c r="B122" s="743" t="s">
        <v>353</v>
      </c>
      <c r="C122" s="744" t="s">
        <v>354</v>
      </c>
      <c r="D122" s="745">
        <v>250000</v>
      </c>
      <c r="E122" s="378" t="s">
        <v>1203</v>
      </c>
      <c r="F122" s="373" t="s">
        <v>1862</v>
      </c>
      <c r="G122" s="379">
        <v>18000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3" spans="1:7" s="108" customFormat="1" ht="16" x14ac:dyDescent="0.2">
      <c r="E123" s="378" t="s">
        <v>1205</v>
      </c>
      <c r="F123" s="373" t="s">
        <v>1863</v>
      </c>
      <c r="G123" s="379">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4" spans="1:7" s="108" customFormat="1" ht="16" x14ac:dyDescent="0.2">
      <c r="B124" s="743" t="s">
        <v>360</v>
      </c>
      <c r="C124" s="744" t="s">
        <v>361</v>
      </c>
      <c r="D124" s="745">
        <v>100000</v>
      </c>
      <c r="E124" s="378" t="s">
        <v>1192</v>
      </c>
      <c r="F124" s="373" t="s">
        <v>1864</v>
      </c>
      <c r="G124" s="379">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5" spans="1:7" s="108" customFormat="1" ht="32" x14ac:dyDescent="0.2">
      <c r="E125" s="378" t="s">
        <v>1208</v>
      </c>
      <c r="F125" s="373" t="s">
        <v>1865</v>
      </c>
      <c r="G125" s="379">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6" spans="1:7" s="108" customFormat="1" ht="16" x14ac:dyDescent="0.2">
      <c r="B126" s="743" t="s">
        <v>366</v>
      </c>
      <c r="C126" s="744" t="s">
        <v>367</v>
      </c>
      <c r="D126" s="745">
        <v>500000</v>
      </c>
      <c r="E126" s="378" t="s">
        <v>1210</v>
      </c>
      <c r="F126" s="373" t="s">
        <v>1866</v>
      </c>
      <c r="G126" s="379">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7" spans="1:7" s="108" customFormat="1" ht="16" x14ac:dyDescent="0.2">
      <c r="E127" s="378" t="s">
        <v>1212</v>
      </c>
      <c r="F127" s="373" t="s">
        <v>1867</v>
      </c>
      <c r="G127" s="379">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8" spans="1:7" s="108" customFormat="1" ht="32" x14ac:dyDescent="0.2">
      <c r="B128" s="743" t="s">
        <v>375</v>
      </c>
      <c r="C128" s="744" t="s">
        <v>376</v>
      </c>
      <c r="D128" s="745">
        <v>300000</v>
      </c>
      <c r="E128" s="378" t="s">
        <v>1214</v>
      </c>
      <c r="F128" s="373" t="s">
        <v>1857</v>
      </c>
      <c r="G128" s="379">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9" spans="1:7" s="108" customFormat="1" ht="16" x14ac:dyDescent="0.2">
      <c r="E129" s="378" t="s">
        <v>1216</v>
      </c>
      <c r="F129" s="373" t="s">
        <v>1868</v>
      </c>
      <c r="G129" s="379">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0" spans="1:7" s="108" customFormat="1" ht="32" x14ac:dyDescent="0.2">
      <c r="B130" s="743" t="s">
        <v>383</v>
      </c>
      <c r="C130" s="744" t="s">
        <v>384</v>
      </c>
      <c r="D130" s="745">
        <v>350000</v>
      </c>
      <c r="E130" s="378" t="s">
        <v>1218</v>
      </c>
      <c r="F130" s="373" t="s">
        <v>1869</v>
      </c>
      <c r="G130" s="379">
        <v>22000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1" spans="1:7" s="108" customFormat="1" ht="32" x14ac:dyDescent="0.2">
      <c r="E131" s="378" t="s">
        <v>1220</v>
      </c>
      <c r="F131" s="373" t="s">
        <v>1870</v>
      </c>
      <c r="G131" s="379">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2" spans="1:7" s="108" customFormat="1" ht="16" x14ac:dyDescent="0.2">
      <c r="B132" s="743" t="s">
        <v>390</v>
      </c>
      <c r="C132" s="744" t="s">
        <v>391</v>
      </c>
      <c r="D132" s="745">
        <v>200000</v>
      </c>
      <c r="E132" s="378" t="s">
        <v>1222</v>
      </c>
      <c r="F132" s="373" t="s">
        <v>1859</v>
      </c>
      <c r="G132" s="379">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3" spans="1:7" s="108" customFormat="1" ht="16" x14ac:dyDescent="0.2">
      <c r="E133" s="378" t="s">
        <v>1197</v>
      </c>
      <c r="F133" s="373" t="s">
        <v>1871</v>
      </c>
      <c r="G133" s="379">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4" spans="1:7" s="108" customFormat="1" ht="16" x14ac:dyDescent="0.2">
      <c r="B134" s="743" t="s">
        <v>398</v>
      </c>
      <c r="C134" s="744" t="s">
        <v>399</v>
      </c>
      <c r="D134" s="745">
        <v>150000</v>
      </c>
      <c r="E134" s="378" t="s">
        <v>1224</v>
      </c>
      <c r="F134" s="373" t="s">
        <v>1857</v>
      </c>
      <c r="G134" s="379">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5" spans="1:7" s="108" customFormat="1" ht="32" x14ac:dyDescent="0.2">
      <c r="E135" s="378" t="s">
        <v>1227</v>
      </c>
      <c r="F135" s="373" t="s">
        <v>1859</v>
      </c>
      <c r="G135" s="379">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6" spans="1:7" s="108" customFormat="1" ht="16" x14ac:dyDescent="0.2">
      <c r="B136" s="743" t="s">
        <v>407</v>
      </c>
      <c r="C136" s="744" t="s">
        <v>408</v>
      </c>
      <c r="D136" s="745">
        <v>100000</v>
      </c>
      <c r="E136" s="378" t="s">
        <v>1229</v>
      </c>
      <c r="F136" s="741" t="s">
        <v>1872</v>
      </c>
      <c r="G136" s="742">
        <v>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7" spans="1:5" s="108" customFormat="1" ht="16" x14ac:dyDescent="0.2">
      <c r="E137" s="378" t="s">
        <v>1231</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8" spans="1:7" s="108" customFormat="1" ht="16" x14ac:dyDescent="0.2">
      <c r="B138" s="743" t="s">
        <v>413</v>
      </c>
      <c r="C138" s="744" t="s">
        <v>414</v>
      </c>
      <c r="D138" s="745">
        <v>100000</v>
      </c>
      <c r="E138" s="378" t="s">
        <v>1234</v>
      </c>
      <c r="F138" s="741" t="s">
        <v>1873</v>
      </c>
      <c r="G138" s="742">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9" spans="1:5" s="108" customFormat="1" ht="16" x14ac:dyDescent="0.2">
      <c r="E139" s="378" t="s">
        <v>1236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0" spans="1:7" s="108" customFormat="1" ht="16" x14ac:dyDescent="0.2">
      <c r="B140" s="743" t="s">
        <v>419</v>
      </c>
      <c r="C140" s="744" t="s">
        <v>1238</v>
      </c>
      <c r="D140" s="745">
        <v>500000</v>
      </c>
      <c r="E140" s="378" t="s">
        <v>1239</v>
      </c>
      <c r="F140" s="373" t="s">
        <v>1874</v>
      </c>
      <c r="G140" s="379">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1" spans="1:7" s="108" customFormat="1" ht="16" x14ac:dyDescent="0.2">
      <c r="E141" s="378" t="s">
        <v>1240</v>
      </c>
      <c r="F141" s="373" t="s">
        <v>1875</v>
      </c>
      <c r="G141" s="379">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2" spans="1:7" s="108" customFormat="1" ht="16" x14ac:dyDescent="0.2">
      <c r="B142" s="743" t="s">
        <v>427</v>
      </c>
      <c r="C142" s="744" t="s">
        <v>1242</v>
      </c>
      <c r="D142" s="745">
        <v>300000</v>
      </c>
      <c r="E142" s="378" t="s">
        <v>1203</v>
      </c>
      <c r="F142" s="373" t="s">
        <v>1876</v>
      </c>
      <c r="G142" s="379">
        <v>18000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3" spans="1:7" s="108" customFormat="1" ht="32" x14ac:dyDescent="0.2">
      <c r="E143" s="378" t="s">
        <v>1245</v>
      </c>
      <c r="F143" s="373" t="s">
        <v>1877</v>
      </c>
      <c r="G143" s="379">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4" spans="1:7" s="108" customFormat="1" ht="32" x14ac:dyDescent="0.2">
      <c r="B144" s="743" t="s">
        <v>435</v>
      </c>
      <c r="C144" s="744" t="s">
        <v>436</v>
      </c>
      <c r="D144" s="745">
        <v>400000</v>
      </c>
      <c r="E144" s="378" t="s">
        <v>1247</v>
      </c>
      <c r="F144" s="373" t="s">
        <v>1872</v>
      </c>
      <c r="G144" s="379">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5" spans="1:7" s="108" customFormat="1" ht="16" x14ac:dyDescent="0.2">
      <c r="E145" s="378" t="s">
        <v>1197</v>
      </c>
      <c r="F145" s="373" t="s">
        <v>1858</v>
      </c>
      <c r="G145" s="379">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6" spans="1:7" s="108" customFormat="1" ht="16" x14ac:dyDescent="0.2">
      <c r="B146" s="743" t="s">
        <v>443</v>
      </c>
      <c r="C146" s="744" t="s">
        <v>376</v>
      </c>
      <c r="D146" s="745">
        <v>400000</v>
      </c>
      <c r="E146" s="378" t="s">
        <v>1249</v>
      </c>
      <c r="F146" s="373" t="s">
        <v>1878</v>
      </c>
      <c r="G146" s="379">
        <v>18000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7" spans="1:7" s="108" customFormat="1" ht="32" x14ac:dyDescent="0.2">
      <c r="E147" s="378" t="s">
        <v>1251</v>
      </c>
      <c r="F147" s="373" t="s">
        <v>1857</v>
      </c>
      <c r="G147" s="379">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8" spans="1:7" s="108" customFormat="1" ht="16" x14ac:dyDescent="0.2">
      <c r="B148" s="743" t="s">
        <v>451</v>
      </c>
      <c r="C148" s="675" t="s">
        <v>452</v>
      </c>
      <c r="D148" s="745">
        <v>100000</v>
      </c>
      <c r="E148" s="539" t="s">
        <v>1234</v>
      </c>
      <c r="F148" s="373" t="s">
        <v>1865</v>
      </c>
      <c r="G148" s="379">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9" spans="1:7" s="108" customFormat="1" ht="16" x14ac:dyDescent="0.2">
      <c r="E149" s="373" t="s">
        <v>1236</v>
      </c>
      <c r="F149" s="373" t="s">
        <v>1879</v>
      </c>
      <c r="G149" s="379">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1" spans="1:7" s="108" customFormat="1" ht="32" x14ac:dyDescent="0.2">
      <c r="A151" s="668" t="s">
        <v>457</v>
      </c>
      <c r="B151" s="746" t="s">
        <v>460</v>
      </c>
      <c r="C151" s="736" t="s">
        <v>461</v>
      </c>
      <c r="D151" s="767" t="s">
        <v>1880</v>
      </c>
      <c r="E151" s="540" t="s">
        <v>937</v>
      </c>
      <c r="F151" s="243" t="s">
        <v>1881</v>
      </c>
      <c r="G151" s="340">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2" spans="1:7" s="108" customFormat="1" ht="32" x14ac:dyDescent="0.2">
      <c r="E152" s="540" t="s">
        <v>1256</v>
      </c>
      <c r="F152" s="243" t="s">
        <v>1882</v>
      </c>
      <c r="G152" s="3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3" spans="1:7" s="108" customFormat="1" ht="16" x14ac:dyDescent="0.2">
      <c r="E153" s="540" t="s">
        <v>1258</v>
      </c>
      <c r="F153" s="243" t="s">
        <v>1883</v>
      </c>
      <c r="G153"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4" spans="1:7" s="108" customFormat="1" x14ac:dyDescent="0.2">
      <c r="B154" s="746" t="s">
        <v>468</v>
      </c>
      <c r="C154" s="736" t="s">
        <v>469</v>
      </c>
      <c r="D154" s="740">
        <v>300000</v>
      </c>
      <c r="E154" s="540" t="s">
        <v>1261</v>
      </c>
      <c r="F154" s="243">
        <v>6.3</v>
      </c>
      <c r="G154" s="340">
        <v>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5" spans="1:7" s="108" customFormat="1" x14ac:dyDescent="0.2">
      <c r="E155" s="540" t="s">
        <v>1265</v>
      </c>
      <c r="F155" s="243">
        <v>6.3</v>
      </c>
      <c r="G155"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6" spans="1:7" s="108" customFormat="1" ht="16" x14ac:dyDescent="0.2">
      <c r="E156" s="540" t="s">
        <v>1268</v>
      </c>
      <c r="F156" s="243" t="s">
        <v>1884</v>
      </c>
      <c r="G156"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7" spans="1:7" s="108" customFormat="1" ht="16" x14ac:dyDescent="0.2">
      <c r="B157" s="746" t="s">
        <v>475</v>
      </c>
      <c r="C157" s="736" t="s">
        <v>476</v>
      </c>
      <c r="D157" s="740">
        <v>300000</v>
      </c>
      <c r="E157" s="540" t="s">
        <v>1272</v>
      </c>
      <c r="F157" s="243" t="s">
        <v>1885</v>
      </c>
      <c r="G157" s="342">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8" spans="1:7" s="108" customFormat="1" ht="16" x14ac:dyDescent="0.2">
      <c r="E158" s="540" t="s">
        <v>851</v>
      </c>
      <c r="F158" s="243" t="s">
        <v>1886</v>
      </c>
      <c r="G158" s="342">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59" spans="1:7" s="108" customFormat="1" ht="16" x14ac:dyDescent="0.2">
      <c r="E159" s="540" t="s">
        <v>1275</v>
      </c>
      <c r="F159" s="243" t="s">
        <v>1887</v>
      </c>
      <c r="G159"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0" spans="1:7" s="108" customFormat="1" ht="16" x14ac:dyDescent="0.2">
      <c r="B160" s="746" t="s">
        <v>480</v>
      </c>
      <c r="C160" s="736" t="s">
        <v>481</v>
      </c>
      <c r="D160" s="740">
        <v>200000</v>
      </c>
      <c r="E160" s="540" t="s">
        <v>1277</v>
      </c>
      <c r="F160" s="243" t="s">
        <v>1888</v>
      </c>
      <c r="G160" s="342">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1" spans="1:7" s="108" customFormat="1" ht="16" x14ac:dyDescent="0.2">
      <c r="E161" s="540" t="s">
        <v>1279</v>
      </c>
      <c r="F161" s="243" t="s">
        <v>1885</v>
      </c>
      <c r="G161"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2" spans="1:7" s="108" customFormat="1" ht="16" x14ac:dyDescent="0.2">
      <c r="E162" s="540" t="s">
        <v>1282</v>
      </c>
      <c r="F162" s="243" t="s">
        <v>1883</v>
      </c>
      <c r="G162" s="3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3" spans="1:7" s="108" customFormat="1" ht="16.25" customHeight="1" x14ac:dyDescent="0.2">
      <c r="B163" s="746" t="s">
        <v>487</v>
      </c>
      <c r="C163" s="736" t="s">
        <v>488</v>
      </c>
      <c r="D163" s="740">
        <v>150000</v>
      </c>
      <c r="E163" s="540" t="s">
        <v>1284</v>
      </c>
      <c r="F163" s="243" t="s">
        <v>1889</v>
      </c>
      <c r="G163"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4" spans="1:7" s="108" customFormat="1" ht="32" x14ac:dyDescent="0.2">
      <c r="E164" s="540" t="s">
        <v>904</v>
      </c>
      <c r="F164" s="243" t="s">
        <v>1890</v>
      </c>
      <c r="G164" s="343">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5" spans="1:7" s="108" customFormat="1" ht="16" x14ac:dyDescent="0.2">
      <c r="E165" s="540" t="s">
        <v>1288</v>
      </c>
      <c r="F165" s="243" t="s">
        <v>1891</v>
      </c>
      <c r="G165" s="343">
        <v>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6" spans="1:7" s="108" customFormat="1" ht="42" customHeight="1" x14ac:dyDescent="0.2">
      <c r="B166" s="746" t="s">
        <v>493</v>
      </c>
      <c r="C166" s="736" t="s">
        <v>494</v>
      </c>
      <c r="D166" s="740">
        <v>150000</v>
      </c>
      <c r="E166" s="540" t="s">
        <v>1005</v>
      </c>
      <c r="F166" s="243" t="s">
        <v>1892</v>
      </c>
      <c r="G166"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7" spans="1:7" s="108" customFormat="1" ht="56" customHeight="1" x14ac:dyDescent="0.2">
      <c r="E167" s="540" t="s">
        <v>1292</v>
      </c>
      <c r="F167" s="243" t="s">
        <v>1893</v>
      </c>
      <c r="G167" s="3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8" spans="1:7" s="108" customFormat="1" ht="56" customHeight="1" x14ac:dyDescent="0.2">
      <c r="E168" s="540" t="s">
        <v>1294</v>
      </c>
      <c r="F168" s="243" t="s">
        <v>1894</v>
      </c>
      <c r="G168" s="340">
        <v>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69" spans="1:7" s="108" customFormat="1" ht="30.75" customHeight="1" x14ac:dyDescent="0.2">
      <c r="B169" s="746" t="s">
        <v>501</v>
      </c>
      <c r="C169" s="736" t="s">
        <v>502</v>
      </c>
      <c r="D169" s="740">
        <v>400000</v>
      </c>
      <c r="E169" s="540" t="s">
        <v>1122</v>
      </c>
      <c r="F169" s="243" t="s">
        <v>1895</v>
      </c>
      <c r="G169"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0" spans="1:7" s="108" customFormat="1" ht="16" x14ac:dyDescent="0.2">
      <c r="E170" s="540" t="s">
        <v>1299</v>
      </c>
      <c r="F170" s="243" t="s">
        <v>1896</v>
      </c>
      <c r="G170" s="342">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1" spans="1:7" s="108" customFormat="1" ht="16" x14ac:dyDescent="0.2">
      <c r="E171" s="540" t="s">
        <v>1302</v>
      </c>
      <c r="F171" s="243" t="s">
        <v>1897</v>
      </c>
      <c r="G171" s="340">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2" spans="1:7" s="108" customFormat="1" ht="16" x14ac:dyDescent="0.2">
      <c r="B172" s="746" t="s">
        <v>506</v>
      </c>
      <c r="C172" s="736" t="s">
        <v>507</v>
      </c>
      <c r="D172" s="740">
        <v>150000</v>
      </c>
      <c r="E172" s="540" t="s">
        <v>1305</v>
      </c>
      <c r="F172" s="243" t="s">
        <v>1898</v>
      </c>
      <c r="G172" s="342">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3" spans="1:7" s="108" customFormat="1" ht="32" x14ac:dyDescent="0.2">
      <c r="E173" s="540" t="s">
        <v>937</v>
      </c>
      <c r="F173" s="243" t="s">
        <v>1899</v>
      </c>
      <c r="G173" s="343">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4" spans="1:7" s="108" customFormat="1" ht="16" x14ac:dyDescent="0.2">
      <c r="E174" s="540" t="s">
        <v>1122</v>
      </c>
      <c r="F174" s="243" t="s">
        <v>1895</v>
      </c>
      <c r="G174" s="343">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5" spans="1:7" s="108" customFormat="1" ht="16" x14ac:dyDescent="0.2">
      <c r="B175" s="746" t="s">
        <v>513</v>
      </c>
      <c r="C175" s="736" t="s">
        <v>514</v>
      </c>
      <c r="D175" s="740">
        <v>100000</v>
      </c>
      <c r="E175" s="540" t="s">
        <v>1311</v>
      </c>
      <c r="F175" s="243" t="s">
        <v>1900</v>
      </c>
      <c r="G175"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6" spans="1:7" s="108" customFormat="1" ht="16" x14ac:dyDescent="0.2">
      <c r="E176" s="540" t="s">
        <v>912</v>
      </c>
      <c r="F176" s="243" t="s">
        <v>1901</v>
      </c>
      <c r="G176" s="343">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7" spans="1:7" s="108" customFormat="1" x14ac:dyDescent="0.2">
      <c r="E177" s="540" t="s">
        <v>1315</v>
      </c>
      <c r="F177" s="243">
        <v>8.8000000000000007</v>
      </c>
      <c r="G177" s="343">
        <v>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8" spans="1:7" s="108" customFormat="1" ht="16" x14ac:dyDescent="0.2">
      <c r="B178" s="746" t="s">
        <v>518</v>
      </c>
      <c r="C178" s="736" t="s">
        <v>519</v>
      </c>
      <c r="D178" s="740">
        <v>50000</v>
      </c>
      <c r="E178" s="540" t="s">
        <v>1317</v>
      </c>
      <c r="F178" s="243" t="s">
        <v>1902</v>
      </c>
      <c r="G178" s="340">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79" spans="1:7" s="108" customFormat="1" ht="16" x14ac:dyDescent="0.2">
      <c r="E179" s="540" t="s">
        <v>1320</v>
      </c>
      <c r="F179" s="243" t="s">
        <v>1896</v>
      </c>
      <c r="G179" s="340">
        <v>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0" spans="1:7" s="108" customFormat="1" ht="16" x14ac:dyDescent="0.2">
      <c r="E180" s="540" t="s">
        <v>1322</v>
      </c>
      <c r="F180" s="243" t="s">
        <v>1903</v>
      </c>
      <c r="G180" s="343">
        <v>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2" spans="1:7" x14ac:dyDescent="0.2">
      <c r="A182" s="776" t="s">
        <v>523</v>
      </c>
      <c r="B182" s="733" t="s">
        <v>526</v>
      </c>
      <c r="C182" s="735" t="s">
        <v>527</v>
      </c>
      <c r="D182" s="734">
        <v>200000000</v>
      </c>
      <c r="E182" s="735" t="s">
        <v>1197</v>
      </c>
      <c r="F182" s="735" t="s">
        <v>1904</v>
      </c>
      <c r="G182"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3" spans="1:7" x14ac:dyDescent="0.2">
      <c r="G183" s="541">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4" spans="1:7" ht="16" x14ac:dyDescent="0.2">
      <c r="E184" s="735" t="s">
        <v>1326</v>
      </c>
      <c r="F184" s="305" t="s">
        <v>1905</v>
      </c>
      <c r="G184" s="54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5" spans="1:7" ht="16" x14ac:dyDescent="0.2">
      <c r="F185" s="305" t="s">
        <v>1906</v>
      </c>
      <c r="G185"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6" spans="1:7" ht="16" x14ac:dyDescent="0.2">
      <c r="F186" s="305" t="s">
        <v>1907</v>
      </c>
      <c r="G186" s="54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7" spans="1:7" ht="16" x14ac:dyDescent="0.2">
      <c r="F187" s="305" t="s">
        <v>1908</v>
      </c>
      <c r="G187"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8" spans="1:7" x14ac:dyDescent="0.2">
      <c r="E188" s="735" t="s">
        <v>1329</v>
      </c>
      <c r="F188" s="735" t="s">
        <v>1904</v>
      </c>
      <c r="G188" s="542">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89" spans="1:7" x14ac:dyDescent="0.2">
      <c r="G189"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0" spans="1:7" ht="16" x14ac:dyDescent="0.2">
      <c r="E190" s="735" t="s">
        <v>1333</v>
      </c>
      <c r="F190" s="305" t="s">
        <v>1909</v>
      </c>
      <c r="G190" s="541">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1" spans="1:7" ht="16" x14ac:dyDescent="0.2">
      <c r="F191" s="305" t="s">
        <v>1910</v>
      </c>
      <c r="G191"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2" spans="1:7" ht="16" x14ac:dyDescent="0.2">
      <c r="E192" s="735" t="s">
        <v>1336</v>
      </c>
      <c r="F192" s="305" t="s">
        <v>1909</v>
      </c>
      <c r="G192"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3" spans="1:7" ht="16" x14ac:dyDescent="0.2">
      <c r="F193" s="305" t="s">
        <v>1910</v>
      </c>
      <c r="G193"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4" spans="1:7" ht="16" x14ac:dyDescent="0.2">
      <c r="F194" s="305" t="s">
        <v>1911</v>
      </c>
      <c r="G194" s="541" t="s">
        <v>1912</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5" spans="1:7" ht="16" x14ac:dyDescent="0.2">
      <c r="E195" s="735" t="s">
        <v>1339</v>
      </c>
      <c r="F195" s="305" t="s">
        <v>1913</v>
      </c>
      <c r="G195" s="541">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6" spans="1:7" ht="16" x14ac:dyDescent="0.2">
      <c r="F196" s="305" t="s">
        <v>1914</v>
      </c>
      <c r="G196" s="54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7" spans="1:7" ht="16" x14ac:dyDescent="0.2">
      <c r="F197" s="305" t="s">
        <v>1915</v>
      </c>
      <c r="G197"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8" spans="1:7" ht="16" x14ac:dyDescent="0.2">
      <c r="E198" s="735" t="s">
        <v>1343</v>
      </c>
      <c r="F198" s="305" t="s">
        <v>1916</v>
      </c>
      <c r="G198" s="541">
        <v>3000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99" spans="1:7" ht="16" x14ac:dyDescent="0.2">
      <c r="F199" s="305" t="s">
        <v>1917</v>
      </c>
      <c r="G199" s="54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0" spans="1:7" ht="16" x14ac:dyDescent="0.2">
      <c r="F200" s="305" t="s">
        <v>1910</v>
      </c>
      <c r="G200"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1" spans="1:7" ht="16" x14ac:dyDescent="0.2">
      <c r="F201" s="543" t="s">
        <v>1904</v>
      </c>
      <c r="G201"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2" spans="1:7" ht="16" x14ac:dyDescent="0.2">
      <c r="F202" s="305" t="s">
        <v>1908</v>
      </c>
      <c r="G202"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3" spans="1:7" ht="16" x14ac:dyDescent="0.2">
      <c r="E203" s="735" t="s">
        <v>1345</v>
      </c>
      <c r="F203" s="305" t="s">
        <v>1918</v>
      </c>
      <c r="G203"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4" spans="1:7" ht="16" x14ac:dyDescent="0.2">
      <c r="F204" s="305" t="s">
        <v>1919</v>
      </c>
      <c r="G204" s="54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5" spans="1:7" ht="16" x14ac:dyDescent="0.2">
      <c r="F205" s="305" t="s">
        <v>1920</v>
      </c>
      <c r="G205"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6" spans="1:7" ht="16" x14ac:dyDescent="0.2">
      <c r="F206" s="305" t="s">
        <v>1921</v>
      </c>
      <c r="G206" s="54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7" spans="1:7" ht="16" x14ac:dyDescent="0.2">
      <c r="F207" s="305" t="s">
        <v>1922</v>
      </c>
      <c r="G207"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8" spans="1:7" ht="16" x14ac:dyDescent="0.2">
      <c r="B208" s="733" t="s">
        <v>534</v>
      </c>
      <c r="C208" s="735" t="s">
        <v>535</v>
      </c>
      <c r="D208" s="738">
        <v>10000000</v>
      </c>
      <c r="E208" s="305" t="s">
        <v>1197</v>
      </c>
      <c r="F208" s="543" t="s">
        <v>1904</v>
      </c>
      <c r="G208"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09" spans="1:7" ht="16" x14ac:dyDescent="0.2">
      <c r="E209" s="305" t="s">
        <v>1326</v>
      </c>
      <c r="F209" s="305" t="s">
        <v>1908</v>
      </c>
      <c r="G209"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0" spans="1:7" ht="16" x14ac:dyDescent="0.2">
      <c r="E210" s="305" t="s">
        <v>1329</v>
      </c>
      <c r="F210" s="543" t="s">
        <v>1904</v>
      </c>
      <c r="G210"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1" spans="1:7" ht="16" x14ac:dyDescent="0.2">
      <c r="E211" s="305" t="s">
        <v>1333</v>
      </c>
      <c r="F211" s="305" t="s">
        <v>1909</v>
      </c>
      <c r="G211"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2" spans="1:7" ht="16" x14ac:dyDescent="0.2">
      <c r="E212" s="305" t="s">
        <v>1336</v>
      </c>
      <c r="F212" s="305" t="s">
        <v>1910</v>
      </c>
      <c r="G212"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3" spans="1:7" ht="16" x14ac:dyDescent="0.2">
      <c r="E213" s="305" t="s">
        <v>1343</v>
      </c>
      <c r="F213" s="543" t="s">
        <v>1904</v>
      </c>
      <c r="G213"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4" spans="1:7" customFormat="1" ht="16" x14ac:dyDescent="0.2">
      <c r="E214" s="4" t="s">
        <v>1345</v>
      </c>
      <c r="F214" s="305" t="s">
        <v>1918</v>
      </c>
      <c r="G214"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5" spans="1:7" ht="16" x14ac:dyDescent="0.2">
      <c r="B215" s="733" t="s">
        <v>541</v>
      </c>
      <c r="C215" s="735" t="s">
        <v>542</v>
      </c>
      <c r="D215" s="734">
        <v>10000000</v>
      </c>
      <c r="E215" s="305" t="s">
        <v>1197</v>
      </c>
      <c r="F215" s="543" t="s">
        <v>1904</v>
      </c>
      <c r="G215"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6" spans="1:7" ht="16" x14ac:dyDescent="0.2">
      <c r="E216" s="305" t="s">
        <v>1326</v>
      </c>
      <c r="F216" s="305" t="s">
        <v>1908</v>
      </c>
      <c r="G216"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7" spans="1:7" ht="16" x14ac:dyDescent="0.2">
      <c r="E217" s="305" t="s">
        <v>1329</v>
      </c>
      <c r="F217" s="543" t="s">
        <v>1904</v>
      </c>
      <c r="G217"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8" spans="1:7" ht="16" x14ac:dyDescent="0.2">
      <c r="E218" s="305" t="s">
        <v>1333</v>
      </c>
      <c r="F218" s="305" t="s">
        <v>1909</v>
      </c>
      <c r="G218"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19" spans="1:7" ht="16" x14ac:dyDescent="0.2">
      <c r="E219" s="305" t="s">
        <v>1336</v>
      </c>
      <c r="F219" s="305" t="s">
        <v>1910</v>
      </c>
      <c r="G219"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0" spans="1:7" ht="16" x14ac:dyDescent="0.2">
      <c r="E220" s="305" t="s">
        <v>1343</v>
      </c>
      <c r="F220" s="543" t="s">
        <v>1904</v>
      </c>
      <c r="G220"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1" spans="1:7" ht="16" x14ac:dyDescent="0.2">
      <c r="E221" s="305" t="s">
        <v>1345</v>
      </c>
      <c r="F221" s="305" t="s">
        <v>1918</v>
      </c>
      <c r="G221"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2" spans="1:7" ht="16" x14ac:dyDescent="0.2">
      <c r="B222" s="733" t="s">
        <v>549</v>
      </c>
      <c r="C222" s="735" t="s">
        <v>550</v>
      </c>
      <c r="D222" s="734">
        <v>5000000</v>
      </c>
      <c r="E222" s="305" t="s">
        <v>1197</v>
      </c>
      <c r="F222" s="543" t="s">
        <v>1904</v>
      </c>
      <c r="G222"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3" spans="1:7" ht="16" x14ac:dyDescent="0.2">
      <c r="E223" s="305" t="s">
        <v>1326</v>
      </c>
      <c r="F223" s="305" t="s">
        <v>1908</v>
      </c>
      <c r="G223"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4" spans="1:7" ht="16" x14ac:dyDescent="0.2">
      <c r="E224" s="305" t="s">
        <v>1329</v>
      </c>
      <c r="F224" s="543" t="s">
        <v>1904</v>
      </c>
      <c r="G224"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5" spans="1:7" ht="16" x14ac:dyDescent="0.2">
      <c r="E225" s="305" t="s">
        <v>1333</v>
      </c>
      <c r="F225" s="305" t="s">
        <v>1909</v>
      </c>
      <c r="G225"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6" spans="1:7" ht="16" x14ac:dyDescent="0.2">
      <c r="E226" s="305" t="s">
        <v>1336</v>
      </c>
      <c r="F226" s="305" t="s">
        <v>1910</v>
      </c>
      <c r="G226"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7" spans="1:7" ht="16" x14ac:dyDescent="0.2">
      <c r="E227" s="305" t="s">
        <v>1343</v>
      </c>
      <c r="F227" s="543" t="s">
        <v>1904</v>
      </c>
      <c r="G227"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8" spans="1:7" ht="16" x14ac:dyDescent="0.2">
      <c r="E228" s="305" t="s">
        <v>1345</v>
      </c>
      <c r="F228" s="305" t="s">
        <v>1918</v>
      </c>
      <c r="G228"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29" spans="1:7" ht="16" x14ac:dyDescent="0.2">
      <c r="B229" s="733" t="s">
        <v>555</v>
      </c>
      <c r="C229" s="735" t="s">
        <v>556</v>
      </c>
      <c r="D229" s="734">
        <v>2000000</v>
      </c>
      <c r="E229" s="305" t="s">
        <v>1197</v>
      </c>
      <c r="F229" s="543" t="s">
        <v>1904</v>
      </c>
      <c r="G229"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0" spans="1:7" ht="16" x14ac:dyDescent="0.2">
      <c r="E230" s="305" t="s">
        <v>1326</v>
      </c>
      <c r="F230" s="305" t="s">
        <v>1908</v>
      </c>
      <c r="G230"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1" spans="1:7" ht="16" x14ac:dyDescent="0.2">
      <c r="E231" s="305" t="s">
        <v>1329</v>
      </c>
      <c r="F231" s="543" t="s">
        <v>1904</v>
      </c>
      <c r="G231"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2" spans="1:7" ht="16" x14ac:dyDescent="0.2">
      <c r="E232" s="305" t="s">
        <v>1333</v>
      </c>
      <c r="F232" s="305" t="s">
        <v>1909</v>
      </c>
      <c r="G232"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3" spans="1:7" ht="16" x14ac:dyDescent="0.2">
      <c r="E233" s="305" t="s">
        <v>1336</v>
      </c>
      <c r="F233" s="305" t="s">
        <v>1910</v>
      </c>
      <c r="G233"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4" spans="1:7" ht="16" x14ac:dyDescent="0.2">
      <c r="E234" s="305" t="s">
        <v>1343</v>
      </c>
      <c r="F234" s="543" t="s">
        <v>1904</v>
      </c>
      <c r="G234"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5" spans="1:7" ht="16" x14ac:dyDescent="0.2">
      <c r="E235" s="305" t="s">
        <v>1345</v>
      </c>
      <c r="F235" s="305" t="s">
        <v>1918</v>
      </c>
      <c r="G235"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6" spans="1:7" ht="16" x14ac:dyDescent="0.2">
      <c r="B236" s="733" t="s">
        <v>562</v>
      </c>
      <c r="C236" s="735" t="s">
        <v>563</v>
      </c>
      <c r="D236" s="734">
        <v>5000000</v>
      </c>
      <c r="E236" s="305" t="s">
        <v>1329</v>
      </c>
      <c r="F236" s="543" t="s">
        <v>1904</v>
      </c>
      <c r="G236"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7" spans="1:7" ht="16" x14ac:dyDescent="0.2">
      <c r="E237" s="305" t="s">
        <v>1333</v>
      </c>
      <c r="F237" s="305" t="s">
        <v>1909</v>
      </c>
      <c r="G237"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8" spans="1:7" ht="16" x14ac:dyDescent="0.2">
      <c r="E238" s="305" t="s">
        <v>1336</v>
      </c>
      <c r="F238" s="305" t="s">
        <v>1910</v>
      </c>
      <c r="G238"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39" spans="1:7" ht="16" x14ac:dyDescent="0.2">
      <c r="E239" s="305" t="s">
        <v>1343</v>
      </c>
      <c r="F239" s="543" t="s">
        <v>1904</v>
      </c>
      <c r="G239"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0" spans="1:7" ht="16" x14ac:dyDescent="0.2">
      <c r="E240" s="305" t="s">
        <v>1345</v>
      </c>
      <c r="F240" s="305" t="s">
        <v>1918</v>
      </c>
      <c r="G240"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1" spans="1:7" ht="16" x14ac:dyDescent="0.2">
      <c r="B241" s="733" t="s">
        <v>567</v>
      </c>
      <c r="C241" s="735" t="s">
        <v>568</v>
      </c>
      <c r="D241" s="734">
        <v>15000000</v>
      </c>
      <c r="E241" s="305" t="s">
        <v>1197</v>
      </c>
      <c r="F241" s="543" t="s">
        <v>1904</v>
      </c>
      <c r="G241"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2" spans="1:7" ht="16" x14ac:dyDescent="0.2">
      <c r="E242" s="305" t="s">
        <v>1326</v>
      </c>
      <c r="F242" s="305" t="s">
        <v>1908</v>
      </c>
      <c r="G242"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3" spans="1:7" ht="16" x14ac:dyDescent="0.2">
      <c r="E243" s="305" t="s">
        <v>1329</v>
      </c>
      <c r="F243" s="543" t="s">
        <v>1904</v>
      </c>
      <c r="G243"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4" spans="1:7" ht="16" x14ac:dyDescent="0.2">
      <c r="E244" s="305" t="s">
        <v>1333</v>
      </c>
      <c r="F244" s="305" t="s">
        <v>1909</v>
      </c>
      <c r="G244"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5" spans="1:7" ht="16" x14ac:dyDescent="0.2">
      <c r="E245" s="305" t="s">
        <v>1336</v>
      </c>
      <c r="F245" s="305" t="s">
        <v>1910</v>
      </c>
      <c r="G245"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6" spans="1:7" ht="16" x14ac:dyDescent="0.2">
      <c r="E246" s="305" t="s">
        <v>1343</v>
      </c>
      <c r="F246" s="543" t="s">
        <v>1904</v>
      </c>
      <c r="G246"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7" spans="1:7" ht="16" x14ac:dyDescent="0.2">
      <c r="E247" s="305" t="s">
        <v>1345</v>
      </c>
      <c r="F247" s="305" t="s">
        <v>1918</v>
      </c>
      <c r="G247"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8" spans="1:7" ht="16" x14ac:dyDescent="0.2">
      <c r="B248" s="733" t="s">
        <v>575</v>
      </c>
      <c r="C248" s="735" t="s">
        <v>576</v>
      </c>
      <c r="D248" s="734">
        <v>50000000</v>
      </c>
      <c r="E248" s="305" t="s">
        <v>1197</v>
      </c>
      <c r="F248" s="543" t="s">
        <v>1904</v>
      </c>
      <c r="G248" s="732">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49" spans="1:6" x14ac:dyDescent="0.2">
      <c r="E249" s="735" t="s">
        <v>1352</v>
      </c>
      <c r="F249" s="735" t="s">
        <v>1904</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0" spans="1:7" x14ac:dyDescent="0.2">
      <c r="G250"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1" spans="1:7" ht="16" x14ac:dyDescent="0.2">
      <c r="F251" s="305" t="s">
        <v>1923</v>
      </c>
      <c r="G251" s="54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2" spans="1:7" ht="16" x14ac:dyDescent="0.2">
      <c r="F252" s="305" t="s">
        <v>1924</v>
      </c>
      <c r="G252"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3" spans="1:7" ht="16" x14ac:dyDescent="0.2">
      <c r="F253" s="305" t="s">
        <v>1925</v>
      </c>
      <c r="G253" s="541" t="s">
        <v>1926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4" spans="1:7" ht="16" x14ac:dyDescent="0.2">
      <c r="F254" s="305" t="s">
        <v>1927</v>
      </c>
      <c r="G254"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5" spans="1:7" ht="16" x14ac:dyDescent="0.2">
      <c r="E255" s="305" t="s">
        <v>1326</v>
      </c>
      <c r="F255" s="305" t="s">
        <v>1908</v>
      </c>
      <c r="G255"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6" spans="1:7" ht="16" x14ac:dyDescent="0.2">
      <c r="E256" s="305" t="s">
        <v>1329</v>
      </c>
      <c r="F256" s="543" t="s">
        <v>1904</v>
      </c>
      <c r="G256"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7" spans="1:7" ht="16" x14ac:dyDescent="0.2">
      <c r="E257" s="305" t="s">
        <v>1333</v>
      </c>
      <c r="F257" s="305" t="s">
        <v>1909</v>
      </c>
      <c r="G257"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8" spans="1:7" ht="16" x14ac:dyDescent="0.2">
      <c r="E258" s="305" t="s">
        <v>1336</v>
      </c>
      <c r="F258" s="305" t="s">
        <v>1910</v>
      </c>
      <c r="G258"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59" spans="1:7" ht="16" x14ac:dyDescent="0.2">
      <c r="E259" s="305" t="s">
        <v>1343</v>
      </c>
      <c r="F259" s="543" t="s">
        <v>1904</v>
      </c>
      <c r="G259"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0" spans="1:7" ht="16" x14ac:dyDescent="0.2">
      <c r="E260" s="305" t="s">
        <v>1345</v>
      </c>
      <c r="F260" s="305" t="s">
        <v>1918</v>
      </c>
      <c r="G260"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1" spans="1:7" ht="16" x14ac:dyDescent="0.2">
      <c r="B261" s="733" t="s">
        <v>581</v>
      </c>
      <c r="C261" s="735" t="s">
        <v>582</v>
      </c>
      <c r="D261" s="734">
        <v>100000000</v>
      </c>
      <c r="E261" s="305" t="s">
        <v>1197</v>
      </c>
      <c r="F261" s="543" t="s">
        <v>1904</v>
      </c>
      <c r="G261"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2" spans="1:7" ht="16" x14ac:dyDescent="0.2">
      <c r="E262" s="305" t="s">
        <v>1352</v>
      </c>
      <c r="F262" s="305" t="s">
        <v>1924</v>
      </c>
      <c r="G262"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3" spans="1:7" ht="16" x14ac:dyDescent="0.2">
      <c r="E263" s="305" t="s">
        <v>1326</v>
      </c>
      <c r="F263" s="305" t="s">
        <v>1908</v>
      </c>
      <c r="G263"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4" spans="1:7" ht="16" x14ac:dyDescent="0.2">
      <c r="E264" s="305" t="s">
        <v>1329</v>
      </c>
      <c r="F264" s="543" t="s">
        <v>1904</v>
      </c>
      <c r="G264"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5" spans="1:7" ht="16" x14ac:dyDescent="0.2">
      <c r="E265" s="305" t="s">
        <v>1333</v>
      </c>
      <c r="F265" s="305" t="s">
        <v>1909</v>
      </c>
      <c r="G265"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6" spans="1:7" ht="16" x14ac:dyDescent="0.2">
      <c r="E266" s="305" t="s">
        <v>1336</v>
      </c>
      <c r="F266" s="305" t="s">
        <v>1910</v>
      </c>
      <c r="G266"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7" spans="1:7" ht="16" x14ac:dyDescent="0.2">
      <c r="E267" s="305" t="s">
        <v>1343</v>
      </c>
      <c r="F267" s="543" t="s">
        <v>1904</v>
      </c>
      <c r="G267"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8" spans="1:7" ht="16" x14ac:dyDescent="0.2">
      <c r="E268" s="305" t="s">
        <v>1345</v>
      </c>
      <c r="F268" s="305" t="s">
        <v>1918</v>
      </c>
      <c r="G268"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69" spans="1:7" ht="16" x14ac:dyDescent="0.2">
      <c r="B269" s="733" t="s">
        <v>585</v>
      </c>
      <c r="C269" s="735" t="s">
        <v>586</v>
      </c>
      <c r="D269" s="734">
        <v>10000000</v>
      </c>
      <c r="E269" s="305" t="s">
        <v>1197</v>
      </c>
      <c r="F269" s="543" t="s">
        <v>1904</v>
      </c>
      <c r="G269"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0" spans="1:7" ht="16" x14ac:dyDescent="0.2">
      <c r="E270" s="305" t="s">
        <v>1352</v>
      </c>
      <c r="F270" s="305" t="s">
        <v>1924</v>
      </c>
      <c r="G270"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1" spans="1:7" ht="16" x14ac:dyDescent="0.2">
      <c r="E271" s="305" t="s">
        <v>1326</v>
      </c>
      <c r="F271" s="305" t="s">
        <v>1908</v>
      </c>
      <c r="G271"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2" spans="1:7" ht="16" x14ac:dyDescent="0.2">
      <c r="E272" s="305" t="s">
        <v>1329</v>
      </c>
      <c r="F272" s="543" t="s">
        <v>1904</v>
      </c>
      <c r="G272"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3" spans="1:7" ht="16" x14ac:dyDescent="0.2">
      <c r="E273" s="305" t="s">
        <v>1333</v>
      </c>
      <c r="F273" s="305" t="s">
        <v>1909</v>
      </c>
      <c r="G273"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4" spans="1:7" ht="16" x14ac:dyDescent="0.2">
      <c r="E274" s="305" t="s">
        <v>1336</v>
      </c>
      <c r="F274" s="305" t="s">
        <v>1910</v>
      </c>
      <c r="G274"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5" spans="1:7" ht="16" x14ac:dyDescent="0.2">
      <c r="E275" s="305" t="s">
        <v>1343</v>
      </c>
      <c r="F275" s="543" t="s">
        <v>1904</v>
      </c>
      <c r="G275"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6" spans="1:7" ht="16" x14ac:dyDescent="0.2">
      <c r="E276" s="305" t="s">
        <v>1345</v>
      </c>
      <c r="F276" s="305" t="s">
        <v>1918</v>
      </c>
      <c r="G276"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7" spans="1:7" ht="16" x14ac:dyDescent="0.2">
      <c r="B277" s="733" t="s">
        <v>591</v>
      </c>
      <c r="C277" s="735" t="s">
        <v>592</v>
      </c>
      <c r="D277" s="734">
        <v>20000000</v>
      </c>
      <c r="E277" s="305" t="s">
        <v>1197</v>
      </c>
      <c r="F277" s="543" t="s">
        <v>1904</v>
      </c>
      <c r="G277"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8" spans="1:7" ht="16" x14ac:dyDescent="0.2">
      <c r="E278" s="305" t="s">
        <v>1326</v>
      </c>
      <c r="F278" s="305" t="s">
        <v>1908</v>
      </c>
      <c r="G278"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79" spans="1:7" ht="16" x14ac:dyDescent="0.2">
      <c r="E279" s="305" t="s">
        <v>1329</v>
      </c>
      <c r="F279" s="543" t="s">
        <v>1904</v>
      </c>
      <c r="G279"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0" spans="1:7" ht="16" x14ac:dyDescent="0.2">
      <c r="E280" s="305" t="s">
        <v>1333</v>
      </c>
      <c r="F280" s="305" t="s">
        <v>1909</v>
      </c>
      <c r="G280"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1" spans="1:7" ht="16" x14ac:dyDescent="0.2">
      <c r="E281" s="305" t="s">
        <v>1336</v>
      </c>
      <c r="F281" s="305" t="s">
        <v>1910</v>
      </c>
      <c r="G281"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2" spans="1:7" ht="16" x14ac:dyDescent="0.2">
      <c r="E282" s="305" t="s">
        <v>1343</v>
      </c>
      <c r="F282" s="543" t="s">
        <v>1904</v>
      </c>
      <c r="G282"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3" spans="1:7" ht="16" x14ac:dyDescent="0.2">
      <c r="E283" s="305" t="s">
        <v>1345</v>
      </c>
      <c r="F283" s="305" t="s">
        <v>1918</v>
      </c>
      <c r="G283"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4" spans="1:7" ht="16" x14ac:dyDescent="0.2">
      <c r="B284" s="733" t="s">
        <v>597</v>
      </c>
      <c r="C284" s="735" t="s">
        <v>1354</v>
      </c>
      <c r="D284" s="734">
        <v>5000000</v>
      </c>
      <c r="E284" s="305" t="s">
        <v>1197</v>
      </c>
      <c r="F284" s="543" t="s">
        <v>1904</v>
      </c>
      <c r="G284"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5" spans="1:7" ht="16" x14ac:dyDescent="0.2">
      <c r="E285" s="305" t="s">
        <v>1326</v>
      </c>
      <c r="F285" s="305" t="s">
        <v>1908</v>
      </c>
      <c r="G285"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6" spans="1:7" ht="16" x14ac:dyDescent="0.2">
      <c r="E286" s="305" t="s">
        <v>1329</v>
      </c>
      <c r="F286" s="543" t="s">
        <v>1904</v>
      </c>
      <c r="G286" s="54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7" spans="1:7" ht="16" x14ac:dyDescent="0.2">
      <c r="E287" s="305" t="s">
        <v>1333</v>
      </c>
      <c r="F287" s="305" t="s">
        <v>1909</v>
      </c>
      <c r="G287" s="542">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8" spans="1:7" ht="16" x14ac:dyDescent="0.2">
      <c r="E288" s="305" t="s">
        <v>1336</v>
      </c>
      <c r="F288" s="305" t="s">
        <v>1910</v>
      </c>
      <c r="G288" s="542">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89" spans="1:7" ht="16" x14ac:dyDescent="0.2">
      <c r="E289" s="305" t="s">
        <v>1343</v>
      </c>
      <c r="F289" s="543" t="s">
        <v>1904</v>
      </c>
      <c r="G289" s="542">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0" spans="1:7" ht="16" x14ac:dyDescent="0.2">
      <c r="E290" s="305" t="s">
        <v>1345</v>
      </c>
      <c r="F290" s="305" t="s">
        <v>1918</v>
      </c>
      <c r="G290" s="54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2" spans="1:7" s="112" customFormat="1" ht="31" customHeight="1" x14ac:dyDescent="0.2">
      <c r="A292" s="668" t="s">
        <v>602</v>
      </c>
      <c r="B292" s="731" t="s">
        <v>605</v>
      </c>
      <c r="C292" s="730" t="s">
        <v>606</v>
      </c>
      <c r="D292" s="729">
        <v>150000</v>
      </c>
      <c r="E292" s="381" t="s">
        <v>1355</v>
      </c>
      <c r="F292" s="2" t="s">
        <v>1928</v>
      </c>
      <c r="G292" s="303">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3" spans="1:7" s="113" customFormat="1" ht="31" customHeight="1" x14ac:dyDescent="0.2">
      <c r="E293" s="381" t="s">
        <v>1358</v>
      </c>
      <c r="F293" s="2" t="s">
        <v>1929</v>
      </c>
      <c r="G293" s="303">
        <v>40000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4" spans="1:7" ht="15" customHeight="1" x14ac:dyDescent="0.2">
      <c r="E294" s="381" t="s">
        <v>1360</v>
      </c>
      <c r="F294" s="3" t="s">
        <v>1930</v>
      </c>
      <c r="G294" s="30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5" spans="1:7" s="114" customFormat="1" ht="15" customHeight="1" x14ac:dyDescent="0.2">
      <c r="B295" s="731" t="s">
        <v>612</v>
      </c>
      <c r="C295" s="730" t="s">
        <v>613</v>
      </c>
      <c r="D295" s="729">
        <v>250000</v>
      </c>
      <c r="E295" s="381" t="s">
        <v>1363</v>
      </c>
      <c r="F295" s="2" t="s">
        <v>1931</v>
      </c>
      <c r="G295" s="303">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6" spans="1:7" ht="15" customHeight="1" x14ac:dyDescent="0.2">
      <c r="E296" s="381" t="s">
        <v>1364</v>
      </c>
      <c r="F296" s="3" t="s">
        <v>1932</v>
      </c>
      <c r="G296" s="303">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7" spans="1:7" ht="15" customHeight="1" x14ac:dyDescent="0.2">
      <c r="E297" s="381" t="s">
        <v>1366</v>
      </c>
      <c r="F297" s="2" t="s">
        <v>1933</v>
      </c>
      <c r="G297" s="303">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8" spans="1:7" ht="15" customHeight="1" x14ac:dyDescent="0.2">
      <c r="B298" s="731" t="s">
        <v>618</v>
      </c>
      <c r="C298" s="730" t="s">
        <v>619</v>
      </c>
      <c r="D298" s="729">
        <v>100000</v>
      </c>
      <c r="E298" s="381" t="s">
        <v>1218</v>
      </c>
      <c r="F298" s="2" t="s">
        <v>1934</v>
      </c>
      <c r="G298" s="303">
        <v>22000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99" spans="1:7" ht="15" customHeight="1" x14ac:dyDescent="0.2">
      <c r="E299" s="381" t="s">
        <v>1368</v>
      </c>
      <c r="F299" s="2" t="s">
        <v>1935</v>
      </c>
      <c r="G299" s="303">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0" spans="1:7" ht="15" customHeight="1" x14ac:dyDescent="0.2">
      <c r="E300" s="381" t="s">
        <v>1369</v>
      </c>
      <c r="F300" s="2" t="s">
        <v>1936</v>
      </c>
      <c r="G300" s="303">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1" spans="1:7" ht="15" customHeight="1" x14ac:dyDescent="0.2">
      <c r="B301" s="731" t="s">
        <v>626</v>
      </c>
      <c r="C301" s="730" t="s">
        <v>627</v>
      </c>
      <c r="D301" s="729">
        <v>120000</v>
      </c>
      <c r="E301" s="381" t="s">
        <v>1371</v>
      </c>
      <c r="F301" s="2" t="s">
        <v>1937</v>
      </c>
      <c r="G301" s="30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2" spans="1:7" ht="15" customHeight="1" x14ac:dyDescent="0.2">
      <c r="E302" s="381" t="s">
        <v>1373</v>
      </c>
      <c r="F302" s="2" t="s">
        <v>1938</v>
      </c>
      <c r="G302" s="303">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3" spans="1:7" ht="15" customHeight="1" x14ac:dyDescent="0.2">
      <c r="E303" s="381" t="s">
        <v>1376</v>
      </c>
      <c r="F303" s="2" t="s">
        <v>1939</v>
      </c>
      <c r="G303" s="303">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4" spans="1:7" ht="15" customHeight="1" x14ac:dyDescent="0.2">
      <c r="B304" s="731" t="s">
        <v>632</v>
      </c>
      <c r="C304" s="730" t="s">
        <v>633</v>
      </c>
      <c r="D304" s="729">
        <v>75000</v>
      </c>
      <c r="E304" s="381" t="s">
        <v>1378</v>
      </c>
      <c r="F304" s="2" t="s">
        <v>1940</v>
      </c>
      <c r="G304" s="303">
        <v>40000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5" spans="1:7" ht="15" customHeight="1" x14ac:dyDescent="0.2">
      <c r="E305" s="381" t="s">
        <v>1380</v>
      </c>
      <c r="F305" s="2" t="s">
        <v>1941</v>
      </c>
      <c r="G305" s="303">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6" spans="1:7" ht="15" customHeight="1" x14ac:dyDescent="0.2">
      <c r="E306" s="381" t="s">
        <v>1382</v>
      </c>
      <c r="F306" s="2" t="s">
        <v>1942</v>
      </c>
      <c r="G306" s="303">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7" spans="1:7" ht="15" customHeight="1" x14ac:dyDescent="0.2">
      <c r="B307" s="731" t="s">
        <v>639</v>
      </c>
      <c r="C307" s="730" t="s">
        <v>640</v>
      </c>
      <c r="D307" s="729">
        <v>50000</v>
      </c>
      <c r="E307" s="381" t="s">
        <v>1384</v>
      </c>
      <c r="F307" s="2" t="s">
        <v>1943</v>
      </c>
      <c r="G307" s="303">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8" spans="1:7" ht="15" customHeight="1" x14ac:dyDescent="0.2">
      <c r="E308" s="381" t="s">
        <v>1385</v>
      </c>
      <c r="F308" s="2" t="s">
        <v>1944</v>
      </c>
      <c r="G308" s="303">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09" spans="1:7" ht="15" customHeight="1" x14ac:dyDescent="0.2">
      <c r="E309" s="381" t="s">
        <v>1386</v>
      </c>
      <c r="F309" s="2" t="s">
        <v>1932</v>
      </c>
      <c r="G309" s="303">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0" spans="1:7" ht="15" customHeight="1" x14ac:dyDescent="0.2">
      <c r="B310" s="731" t="s">
        <v>647</v>
      </c>
      <c r="C310" s="730" t="s">
        <v>648</v>
      </c>
      <c r="D310" s="729">
        <v>90000</v>
      </c>
      <c r="E310" s="381" t="s">
        <v>1387</v>
      </c>
      <c r="F310" s="2" t="s">
        <v>1945</v>
      </c>
      <c r="G310" s="30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1" spans="1:7" ht="15" customHeight="1" x14ac:dyDescent="0.2">
      <c r="E311" s="381" t="s">
        <v>1389</v>
      </c>
      <c r="F311" s="2" t="s">
        <v>1946</v>
      </c>
      <c r="G311" s="303">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2" spans="1:7" ht="15" customHeight="1" x14ac:dyDescent="0.2">
      <c r="E312" s="381" t="s">
        <v>1391</v>
      </c>
      <c r="F312" s="2" t="s">
        <v>1947</v>
      </c>
      <c r="G312" s="303">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3" spans="1:7" ht="15" customHeight="1" x14ac:dyDescent="0.2">
      <c r="B313" s="731" t="s">
        <v>653</v>
      </c>
      <c r="C313" s="730" t="s">
        <v>654</v>
      </c>
      <c r="D313" s="729">
        <v>120000</v>
      </c>
      <c r="E313" s="381" t="s">
        <v>1392</v>
      </c>
      <c r="F313" s="2" t="s">
        <v>1948</v>
      </c>
      <c r="G313" s="303">
        <v>40000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4" spans="1:7" ht="15" customHeight="1" x14ac:dyDescent="0.2">
      <c r="E314" s="381" t="s">
        <v>1394</v>
      </c>
      <c r="F314" s="2" t="s">
        <v>1949</v>
      </c>
      <c r="G314" s="303">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5" spans="1:7" ht="15" customHeight="1" x14ac:dyDescent="0.2">
      <c r="E315" s="381" t="s">
        <v>1396</v>
      </c>
      <c r="F315" s="2" t="s">
        <v>1950</v>
      </c>
      <c r="G315" s="303">
        <v>14000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6" spans="1:7" ht="15" customHeight="1" x14ac:dyDescent="0.2">
      <c r="B316" s="731" t="s">
        <v>659</v>
      </c>
      <c r="C316" s="730" t="s">
        <v>660</v>
      </c>
      <c r="D316" s="729">
        <v>45000</v>
      </c>
      <c r="E316" s="381" t="s">
        <v>1398</v>
      </c>
      <c r="F316" s="2" t="s">
        <v>1951</v>
      </c>
      <c r="G316" s="303">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7" spans="1:7" ht="15" customHeight="1" x14ac:dyDescent="0.2">
      <c r="E317" s="381" t="s">
        <v>1373</v>
      </c>
      <c r="F317" s="2" t="s">
        <v>1952</v>
      </c>
      <c r="G317" s="303">
        <v>40000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8" spans="1:7" ht="15" customHeight="1" x14ac:dyDescent="0.2">
      <c r="E318" s="381" t="s">
        <v>1401</v>
      </c>
      <c r="F318" s="2" t="s">
        <v>1953</v>
      </c>
      <c r="G318" s="303">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19" spans="1:7" ht="15" customHeight="1" x14ac:dyDescent="0.2">
      <c r="B319" s="731" t="s">
        <v>667</v>
      </c>
      <c r="C319" s="730" t="s">
        <v>376</v>
      </c>
      <c r="D319" s="729">
        <v>60000</v>
      </c>
      <c r="E319" s="381" t="s">
        <v>1515</v>
      </c>
      <c r="F319" s="2" t="s">
        <v>1954</v>
      </c>
      <c r="G319" s="303">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0" spans="1:7" ht="15" customHeight="1" x14ac:dyDescent="0.2">
      <c r="E320" s="381" t="s">
        <v>1514</v>
      </c>
      <c r="F320" s="2" t="s">
        <v>1955</v>
      </c>
      <c r="G320" s="303">
        <v>40000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1" spans="1:7" ht="15" customHeight="1" x14ac:dyDescent="0.2">
      <c r="E321" s="381" t="s">
        <v>1516</v>
      </c>
      <c r="F321" s="2" t="s">
        <v>1932</v>
      </c>
      <c r="G321" s="303">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2" spans="1:7" ht="15" customHeight="1" x14ac:dyDescent="0.2">
      <c r="B322" s="731" t="s">
        <v>672</v>
      </c>
      <c r="C322" s="730" t="s">
        <v>673</v>
      </c>
      <c r="D322" s="729">
        <v>70000</v>
      </c>
      <c r="E322" s="381" t="s">
        <v>1402</v>
      </c>
      <c r="F322" s="2" t="s">
        <v>1956</v>
      </c>
      <c r="G322" s="30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3" spans="1:7" ht="15" customHeight="1" x14ac:dyDescent="0.2">
      <c r="E323" s="381" t="s">
        <v>1403</v>
      </c>
      <c r="F323" s="2" t="s">
        <v>1957</v>
      </c>
      <c r="G323" s="303">
        <v>50000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4" spans="1:7" ht="15" customHeight="1" x14ac:dyDescent="0.2">
      <c r="E324" s="381" t="s">
        <v>1404</v>
      </c>
      <c r="F324" s="2" t="s">
        <v>1958</v>
      </c>
      <c r="G324" s="303">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5" spans="1:7" ht="15" customHeight="1" x14ac:dyDescent="0.2">
      <c r="B325" s="731" t="s">
        <v>678</v>
      </c>
      <c r="C325" s="730" t="s">
        <v>384</v>
      </c>
      <c r="D325" s="729">
        <v>50000</v>
      </c>
      <c r="E325" s="381" t="s">
        <v>1406</v>
      </c>
      <c r="F325" s="2" t="s">
        <v>1959</v>
      </c>
      <c r="G325" s="303">
        <v>35000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6" spans="1:7" ht="15" customHeight="1" x14ac:dyDescent="0.2">
      <c r="E326" s="381" t="s">
        <v>1373</v>
      </c>
      <c r="F326" s="2" t="s">
        <v>1952</v>
      </c>
      <c r="G326" s="303">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7" spans="1:7" ht="15" customHeight="1" x14ac:dyDescent="0.2">
      <c r="E327" s="381" t="s">
        <v>1409</v>
      </c>
      <c r="F327" s="2" t="s">
        <v>1960</v>
      </c>
      <c r="G327" s="303">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8" spans="1:7" ht="15" customHeight="1" x14ac:dyDescent="0.2">
      <c r="B328" s="731" t="s">
        <v>685</v>
      </c>
      <c r="C328" s="730" t="s">
        <v>686</v>
      </c>
      <c r="D328" s="729">
        <v>200000</v>
      </c>
      <c r="E328" s="381" t="s">
        <v>1384</v>
      </c>
      <c r="F328" s="2" t="s">
        <v>1954</v>
      </c>
      <c r="G328" s="30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29" spans="1:7" ht="15" customHeight="1" x14ac:dyDescent="0.2">
      <c r="E329" s="381" t="s">
        <v>1412</v>
      </c>
      <c r="F329" s="2" t="s">
        <v>1961</v>
      </c>
      <c r="G329" s="303">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0" spans="1:7" ht="15" customHeight="1" x14ac:dyDescent="0.2">
      <c r="E330" s="381" t="s">
        <v>1414</v>
      </c>
      <c r="F330" s="3" t="s">
        <v>1960</v>
      </c>
      <c r="G330" s="303">
        <v>11000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1" spans="1:7" ht="15" customHeight="1" x14ac:dyDescent="0.2">
      <c r="B331" s="731" t="s">
        <v>691</v>
      </c>
      <c r="C331" s="730" t="s">
        <v>692</v>
      </c>
      <c r="D331" s="729">
        <v>150000</v>
      </c>
      <c r="E331" s="381" t="s">
        <v>1416</v>
      </c>
      <c r="F331" s="2" t="s">
        <v>1954</v>
      </c>
      <c r="G331" s="30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2" spans="1:7" ht="15" customHeight="1" x14ac:dyDescent="0.2">
      <c r="E332" s="381" t="s">
        <v>1417</v>
      </c>
      <c r="F332" s="2" t="s">
        <v>1962</v>
      </c>
      <c r="G332" s="303">
        <v>40000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3" spans="1:7" ht="15" customHeight="1" x14ac:dyDescent="0.2">
      <c r="E333" s="381" t="s">
        <v>1418</v>
      </c>
      <c r="F333" s="3" t="s">
        <v>1958</v>
      </c>
      <c r="G333" s="303">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4" spans="1:7" ht="15" customHeight="1" x14ac:dyDescent="0.2">
      <c r="B334" s="731" t="s">
        <v>697</v>
      </c>
      <c r="C334" s="730" t="s">
        <v>698</v>
      </c>
      <c r="D334" s="729">
        <v>160000</v>
      </c>
      <c r="E334" s="381" t="s">
        <v>1384</v>
      </c>
      <c r="F334" s="2" t="s">
        <v>1954</v>
      </c>
      <c r="G334" s="303">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5" spans="1:7" ht="15" customHeight="1" x14ac:dyDescent="0.2">
      <c r="E335" s="381" t="s">
        <v>1420</v>
      </c>
      <c r="F335" s="2" t="s">
        <v>1963</v>
      </c>
      <c r="G335" s="303">
        <v>45000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6" spans="1:7" ht="15" customHeight="1" x14ac:dyDescent="0.2">
      <c r="E336" s="381" t="s">
        <v>1421</v>
      </c>
      <c r="F336" s="2" t="s">
        <v>1932</v>
      </c>
      <c r="G336" s="303">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8" spans="1:7" ht="15" customHeight="1" x14ac:dyDescent="0.2">
      <c r="A338" s="779" t="s">
        <v>708</v>
      </c>
      <c r="B338" s="773" t="s">
        <v>711</v>
      </c>
      <c r="C338" s="773" t="s">
        <v>712</v>
      </c>
      <c r="D338" s="774" t="s">
        <v>1964</v>
      </c>
      <c r="E338" s="306" t="s">
        <v>1965</v>
      </c>
      <c r="F338" s="244" t="s">
        <v>1966</v>
      </c>
      <c r="G338" s="331">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39" spans="1:7" ht="15" customHeight="1" x14ac:dyDescent="0.2">
      <c r="E339" s="306" t="s">
        <v>1967</v>
      </c>
      <c r="F339" s="244" t="s">
        <v>1968</v>
      </c>
      <c r="G339"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0" spans="1:7" ht="15" customHeight="1" x14ac:dyDescent="0.2">
      <c r="E340" s="306" t="s">
        <v>1969</v>
      </c>
      <c r="F340" s="244" t="s">
        <v>1970</v>
      </c>
      <c r="G340" s="33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1" spans="1:7" ht="15" customHeight="1" x14ac:dyDescent="0.2">
      <c r="B341" s="773" t="s">
        <v>718</v>
      </c>
      <c r="C341" s="773" t="s">
        <v>1438</v>
      </c>
      <c r="D341" s="774">
        <v>100000</v>
      </c>
      <c r="E341" s="306" t="s">
        <v>1971</v>
      </c>
      <c r="F341" s="244" t="s">
        <v>1972</v>
      </c>
      <c r="G341" s="331">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2" spans="1:7" ht="15" customHeight="1" x14ac:dyDescent="0.2">
      <c r="E342" s="306" t="s">
        <v>1973</v>
      </c>
      <c r="F342" s="244" t="s">
        <v>1974</v>
      </c>
      <c r="G342" s="33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3" spans="1:7" ht="15" customHeight="1" x14ac:dyDescent="0.2">
      <c r="E343" s="306" t="s">
        <v>1975</v>
      </c>
      <c r="F343" s="244" t="s">
        <v>1976</v>
      </c>
      <c r="G343"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4" spans="1:7" ht="15" customHeight="1" x14ac:dyDescent="0.2">
      <c r="B344" s="773" t="s">
        <v>725</v>
      </c>
      <c r="C344" s="773" t="s">
        <v>726</v>
      </c>
      <c r="D344" s="774">
        <v>120000</v>
      </c>
      <c r="E344" s="306" t="s">
        <v>1977</v>
      </c>
      <c r="F344" s="244" t="s">
        <v>1978</v>
      </c>
      <c r="G344" s="331">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5" spans="1:7" ht="15" customHeight="1" x14ac:dyDescent="0.2">
      <c r="E345" s="306" t="s">
        <v>1979</v>
      </c>
      <c r="F345" s="244" t="s">
        <v>1980</v>
      </c>
      <c r="G345" s="331">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6" spans="1:7" ht="15" customHeight="1" x14ac:dyDescent="0.2">
      <c r="E346" s="306" t="s">
        <v>1969</v>
      </c>
      <c r="F346" s="244" t="s">
        <v>1981</v>
      </c>
      <c r="G346"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7" spans="1:7" ht="15" customHeight="1" x14ac:dyDescent="0.2">
      <c r="B347" s="773" t="s">
        <v>734</v>
      </c>
      <c r="C347" s="773" t="s">
        <v>1450</v>
      </c>
      <c r="D347" s="774" t="s">
        <v>1982</v>
      </c>
      <c r="E347" s="306" t="s">
        <v>1122</v>
      </c>
      <c r="F347" s="244" t="s">
        <v>1983</v>
      </c>
      <c r="G347" s="331">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8" spans="1:7" ht="15" customHeight="1" x14ac:dyDescent="0.2">
      <c r="E348" s="306" t="s">
        <v>916</v>
      </c>
      <c r="F348" s="244" t="s">
        <v>1984</v>
      </c>
      <c r="G348" s="33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49" spans="1:7" ht="15" customHeight="1" x14ac:dyDescent="0.2">
      <c r="E349" s="306" t="s">
        <v>1985</v>
      </c>
      <c r="F349" s="244" t="s">
        <v>1981</v>
      </c>
      <c r="G349"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0" spans="1:7" ht="15" customHeight="1" x14ac:dyDescent="0.2">
      <c r="B350" s="773" t="s">
        <v>741</v>
      </c>
      <c r="C350" s="773" t="s">
        <v>742</v>
      </c>
      <c r="D350" s="774">
        <v>100000</v>
      </c>
      <c r="E350" s="306" t="s">
        <v>1986</v>
      </c>
      <c r="F350" s="244" t="s">
        <v>1987</v>
      </c>
      <c r="G350" s="331">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1" spans="1:7" ht="15" customHeight="1" x14ac:dyDescent="0.2">
      <c r="E351" s="306" t="s">
        <v>1975</v>
      </c>
      <c r="F351" s="244" t="s">
        <v>1976</v>
      </c>
      <c r="G351"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2" spans="1:7" ht="15" customHeight="1" x14ac:dyDescent="0.2">
      <c r="E352" s="306" t="s">
        <v>1988</v>
      </c>
      <c r="F352" s="244" t="s">
        <v>1989</v>
      </c>
      <c r="G352" s="331">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3" spans="1:7" ht="15" customHeight="1" x14ac:dyDescent="0.2">
      <c r="B353" s="773" t="s">
        <v>748</v>
      </c>
      <c r="C353" s="773" t="s">
        <v>749</v>
      </c>
      <c r="D353" s="774">
        <v>90000</v>
      </c>
      <c r="E353" s="306" t="s">
        <v>1975</v>
      </c>
      <c r="F353" s="244" t="s">
        <v>1990</v>
      </c>
      <c r="G353" s="331">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4" spans="1:7" ht="15" customHeight="1" x14ac:dyDescent="0.2">
      <c r="E354" s="306" t="s">
        <v>1991</v>
      </c>
      <c r="F354" s="244" t="s">
        <v>1992</v>
      </c>
      <c r="G354" s="33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5" spans="1:7" ht="15" customHeight="1" x14ac:dyDescent="0.2">
      <c r="E355" s="306" t="s">
        <v>1993</v>
      </c>
      <c r="F355" s="244" t="s">
        <v>1994</v>
      </c>
      <c r="G355"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6" spans="1:7" ht="15" customHeight="1" x14ac:dyDescent="0.2">
      <c r="B356" s="773" t="s">
        <v>757</v>
      </c>
      <c r="C356" s="773" t="s">
        <v>1463</v>
      </c>
      <c r="D356" s="774" t="s">
        <v>1995</v>
      </c>
      <c r="E356" s="306" t="s">
        <v>1996</v>
      </c>
      <c r="F356" s="244" t="s">
        <v>1997</v>
      </c>
      <c r="G356" s="33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7" spans="1:7" ht="15" customHeight="1" x14ac:dyDescent="0.2">
      <c r="E357" s="306" t="s">
        <v>1998</v>
      </c>
      <c r="F357" s="244" t="s">
        <v>1999</v>
      </c>
      <c r="G357" s="331">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8" spans="1:7" ht="15" customHeight="1" x14ac:dyDescent="0.2">
      <c r="E358" s="306" t="s">
        <v>2000</v>
      </c>
      <c r="F358" s="244" t="s">
        <v>2001</v>
      </c>
      <c r="G358" s="331">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59" spans="1:7" ht="15" customHeight="1" x14ac:dyDescent="0.2">
      <c r="B359" s="773" t="s">
        <v>764</v>
      </c>
      <c r="C359" s="773" t="s">
        <v>765</v>
      </c>
      <c r="D359" s="774" t="s">
        <v>2002</v>
      </c>
      <c r="E359" s="306" t="s">
        <v>1998</v>
      </c>
      <c r="F359" s="244" t="s">
        <v>2003</v>
      </c>
      <c r="G359"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0" spans="1:7" ht="15" customHeight="1" x14ac:dyDescent="0.2">
      <c r="E360" s="306" t="s">
        <v>1969</v>
      </c>
      <c r="F360" s="244" t="s">
        <v>1981</v>
      </c>
      <c r="G360" s="331">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1" spans="1:7" ht="15" customHeight="1" x14ac:dyDescent="0.2">
      <c r="E361" s="306" t="s">
        <v>1967</v>
      </c>
      <c r="F361" s="244" t="s">
        <v>1968</v>
      </c>
      <c r="G361" s="33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2" spans="1:7" ht="15" customHeight="1" x14ac:dyDescent="0.2">
      <c r="B362" s="773" t="s">
        <v>771</v>
      </c>
      <c r="C362" s="773" t="s">
        <v>772</v>
      </c>
      <c r="D362" s="774" t="s">
        <v>2004</v>
      </c>
      <c r="E362" s="306" t="s">
        <v>1979</v>
      </c>
      <c r="F362" s="244" t="s">
        <v>2005</v>
      </c>
      <c r="G362" s="33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3" spans="1:7" ht="15" customHeight="1" x14ac:dyDescent="0.2">
      <c r="E363" s="306" t="s">
        <v>2006</v>
      </c>
      <c r="F363" s="306" t="s">
        <v>2007</v>
      </c>
      <c r="G363"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4" spans="1:7" ht="15" customHeight="1" x14ac:dyDescent="0.2">
      <c r="E364" s="306" t="s">
        <v>1967</v>
      </c>
      <c r="F364" s="244" t="s">
        <v>1968</v>
      </c>
      <c r="G364" s="331">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5" spans="1:7" ht="15" customHeight="1" x14ac:dyDescent="0.2">
      <c r="B365" s="773" t="s">
        <v>780</v>
      </c>
      <c r="C365" s="773" t="s">
        <v>787</v>
      </c>
      <c r="D365" s="774">
        <v>200000</v>
      </c>
      <c r="E365" s="306" t="s">
        <v>1969</v>
      </c>
      <c r="F365" s="306" t="s">
        <v>2008</v>
      </c>
      <c r="G365" s="332">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6" spans="1:7" ht="15" customHeight="1" x14ac:dyDescent="0.2">
      <c r="E366" s="306" t="s">
        <v>2009</v>
      </c>
      <c r="F366" s="306" t="s">
        <v>1807</v>
      </c>
      <c r="G366" s="331">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7" spans="1:7" ht="15" customHeight="1" x14ac:dyDescent="0.2">
      <c r="E367" s="306" t="s">
        <v>1975</v>
      </c>
      <c r="F367" s="306" t="s">
        <v>2010</v>
      </c>
      <c r="G367"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8" spans="1:7" ht="15" customHeight="1" x14ac:dyDescent="0.2">
      <c r="B368" s="773" t="s">
        <v>786</v>
      </c>
      <c r="C368" s="773" t="s">
        <v>794</v>
      </c>
      <c r="D368" s="774" t="s">
        <v>2011</v>
      </c>
      <c r="E368" s="306" t="s">
        <v>1975</v>
      </c>
      <c r="F368" s="244" t="s">
        <v>2012</v>
      </c>
      <c r="G368" s="331">
        <v>20000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69" spans="1:7" ht="15" customHeight="1" x14ac:dyDescent="0.2">
      <c r="E369" s="306" t="s">
        <v>1991</v>
      </c>
      <c r="F369" s="244" t="s">
        <v>2013</v>
      </c>
      <c r="G369"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0" spans="1:7" ht="15" customHeight="1" x14ac:dyDescent="0.2">
      <c r="E370" s="306" t="s">
        <v>1986</v>
      </c>
      <c r="F370" s="244" t="s">
        <v>1981</v>
      </c>
      <c r="G370" s="331">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1" spans="1:7" ht="15" customHeight="1" x14ac:dyDescent="0.2">
      <c r="B371" s="773" t="s">
        <v>793</v>
      </c>
      <c r="C371" s="773" t="s">
        <v>1479</v>
      </c>
      <c r="D371" s="774" t="s">
        <v>2002</v>
      </c>
      <c r="E371" s="306" t="s">
        <v>1965</v>
      </c>
      <c r="F371" s="244" t="s">
        <v>2014</v>
      </c>
      <c r="G371"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2" spans="1:7" ht="15" customHeight="1" x14ac:dyDescent="0.2">
      <c r="E372" s="306" t="s">
        <v>1969</v>
      </c>
      <c r="F372" s="244" t="s">
        <v>1981</v>
      </c>
      <c r="G372" s="331">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3" spans="1:7" ht="15" customHeight="1" x14ac:dyDescent="0.2">
      <c r="E373" s="306" t="s">
        <v>1967</v>
      </c>
      <c r="F373" s="244" t="s">
        <v>1968</v>
      </c>
      <c r="G373" s="33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4" spans="1:7" ht="15" customHeight="1" x14ac:dyDescent="0.2">
      <c r="B374" s="773" t="s">
        <v>802</v>
      </c>
      <c r="C374" s="773" t="s">
        <v>810</v>
      </c>
      <c r="D374" s="774" t="s">
        <v>2004</v>
      </c>
      <c r="E374" s="306" t="s">
        <v>1986</v>
      </c>
      <c r="F374" s="244" t="s">
        <v>2015</v>
      </c>
      <c r="G374" s="33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5" spans="1:7" ht="15" customHeight="1" x14ac:dyDescent="0.2">
      <c r="E375" s="306" t="s">
        <v>1979</v>
      </c>
      <c r="F375" s="244" t="s">
        <v>2016</v>
      </c>
      <c r="G375" s="331">
        <v>12000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6" spans="1:7" ht="15" customHeight="1" x14ac:dyDescent="0.2">
      <c r="E376" s="306" t="s">
        <v>1975</v>
      </c>
      <c r="F376" s="244" t="s">
        <v>2017</v>
      </c>
      <c r="G376" s="33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7" spans="1:7" ht="15" customHeight="1" x14ac:dyDescent="0.2">
      <c r="B377" s="773" t="s">
        <v>809</v>
      </c>
      <c r="C377" s="773" t="s">
        <v>1486</v>
      </c>
      <c r="D377" s="774" t="s">
        <v>2018</v>
      </c>
      <c r="E377" s="306" t="s">
        <v>1969</v>
      </c>
      <c r="F377" s="244" t="s">
        <v>1981</v>
      </c>
      <c r="G377" s="331">
        <v>10000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8" spans="1:7" ht="15" customHeight="1" x14ac:dyDescent="0.2">
      <c r="E378" s="306" t="s">
        <v>1986</v>
      </c>
      <c r="F378" s="244" t="s">
        <v>2017</v>
      </c>
      <c r="G378" s="331">
        <v>8000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79" spans="1:7" ht="15" customHeight="1" x14ac:dyDescent="0.2">
      <c r="E379" s="306" t="s">
        <v>1998</v>
      </c>
      <c r="F379" s="244" t="s">
        <v>2013</v>
      </c>
      <c r="G379" s="331">
        <v>15000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0" spans="1:7" ht="15" customHeight="1" x14ac:dyDescent="0.2">
      <c r="B380" s="773" t="s">
        <v>816</v>
      </c>
      <c r="C380" s="773" t="s">
        <v>354</v>
      </c>
      <c r="D380" s="774" t="s">
        <v>1995</v>
      </c>
      <c r="E380" s="306" t="s">
        <v>1965</v>
      </c>
      <c r="F380" s="244" t="s">
        <v>1966</v>
      </c>
      <c r="G380" s="331">
        <v>30000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1" spans="1:7" ht="15" customHeight="1" x14ac:dyDescent="0.2">
      <c r="E381" s="306" t="s">
        <v>1969</v>
      </c>
      <c r="F381" s="244" t="s">
        <v>2019</v>
      </c>
      <c r="G381" s="331">
        <v>25000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82" spans="1:7" ht="15" customHeight="1" x14ac:dyDescent="0.2">
      <c r="E382" s="306" t="s">
        <v>1993</v>
      </c>
      <c r="F382" s="244" t="s">
        <v>2020</v>
      </c>
      <c r="G382" s="331">
        <v>20000</v>
      </c>
    </row>
  </sheetData>
  <mergeCells count="342">
    <mergeCell ref="A338:A382"/>
    <mergeCell ref="B338:B340"/>
    <mergeCell ref="C338:C340"/>
    <mergeCell ref="D338:D340"/>
    <mergeCell ref="B341:B343"/>
    <mergeCell ref="C341:C343"/>
    <mergeCell ref="D341:D343"/>
    <mergeCell ref="B344:B346"/>
    <mergeCell ref="C344:C346"/>
    <mergeCell ref="D344:D346"/>
    <mergeCell ref="B347:B349"/>
    <mergeCell ref="C347:C349"/>
    <mergeCell ref="D347:D349"/>
    <mergeCell ref="B350:B352"/>
    <mergeCell ref="C350:C352"/>
    <mergeCell ref="D350:D352"/>
    <mergeCell ref="B353:B355"/>
    <mergeCell ref="C353:C355"/>
    <mergeCell ref="D353:D355"/>
    <mergeCell ref="B356:B358"/>
    <mergeCell ref="C356:C358"/>
    <mergeCell ref="D356:D358"/>
    <mergeCell ref="B359:B361"/>
    <mergeCell ref="B374:B376"/>
    <mergeCell ref="C374:C376"/>
    <mergeCell ref="D374:D376"/>
    <mergeCell ref="B377:B379"/>
    <mergeCell ref="C377:C379"/>
    <mergeCell ref="D377:D379"/>
    <mergeCell ref="B380:B382"/>
    <mergeCell ref="C380:C382"/>
    <mergeCell ref="D380:D382"/>
    <mergeCell ref="B365:B367"/>
    <mergeCell ref="C365:C367"/>
    <mergeCell ref="D365:D367"/>
    <mergeCell ref="B368:B370"/>
    <mergeCell ref="C368:C370"/>
    <mergeCell ref="D368:D370"/>
    <mergeCell ref="B371:B373"/>
    <mergeCell ref="C371:C373"/>
    <mergeCell ref="D371:D373"/>
    <mergeCell ref="A182:A290"/>
    <mergeCell ref="B2:B4"/>
    <mergeCell ref="C2:C4"/>
    <mergeCell ref="D2:D4"/>
    <mergeCell ref="B5:B7"/>
    <mergeCell ref="C5:C7"/>
    <mergeCell ref="D5:D7"/>
    <mergeCell ref="B8:B10"/>
    <mergeCell ref="C8:C10"/>
    <mergeCell ref="D8:D10"/>
    <mergeCell ref="B11:B13"/>
    <mergeCell ref="C11:C13"/>
    <mergeCell ref="D11:D13"/>
    <mergeCell ref="B14:B16"/>
    <mergeCell ref="C14:C16"/>
    <mergeCell ref="D14:D16"/>
    <mergeCell ref="B17:B19"/>
    <mergeCell ref="C20:C22"/>
    <mergeCell ref="D23:D25"/>
    <mergeCell ref="B41:B43"/>
    <mergeCell ref="C41:C43"/>
    <mergeCell ref="D41:D43"/>
    <mergeCell ref="B44:B46"/>
    <mergeCell ref="C44:C46"/>
    <mergeCell ref="C359:C361"/>
    <mergeCell ref="D359:D361"/>
    <mergeCell ref="B362:B364"/>
    <mergeCell ref="C362:C364"/>
    <mergeCell ref="D362:D364"/>
    <mergeCell ref="D72:D74"/>
    <mergeCell ref="D75:D77"/>
    <mergeCell ref="A48:A83"/>
    <mergeCell ref="C51:C53"/>
    <mergeCell ref="C54:C56"/>
    <mergeCell ref="B48:B50"/>
    <mergeCell ref="B51:B53"/>
    <mergeCell ref="B54:B56"/>
    <mergeCell ref="B57:B59"/>
    <mergeCell ref="B81:B83"/>
    <mergeCell ref="C66:C68"/>
    <mergeCell ref="C57:C59"/>
    <mergeCell ref="C63:C65"/>
    <mergeCell ref="C60:C62"/>
    <mergeCell ref="B60:B62"/>
    <mergeCell ref="B63:B65"/>
    <mergeCell ref="B66:B68"/>
    <mergeCell ref="B69:B71"/>
    <mergeCell ref="B172:B174"/>
    <mergeCell ref="D44:D46"/>
    <mergeCell ref="A2:A46"/>
    <mergeCell ref="B29:B31"/>
    <mergeCell ref="C29:C31"/>
    <mergeCell ref="D29:D31"/>
    <mergeCell ref="B32:B34"/>
    <mergeCell ref="C32:C34"/>
    <mergeCell ref="C17:C19"/>
    <mergeCell ref="D17:D19"/>
    <mergeCell ref="D20:D22"/>
    <mergeCell ref="B20:B22"/>
    <mergeCell ref="D32:D34"/>
    <mergeCell ref="B35:B37"/>
    <mergeCell ref="C35:C37"/>
    <mergeCell ref="D35:D37"/>
    <mergeCell ref="B38:B40"/>
    <mergeCell ref="C38:C40"/>
    <mergeCell ref="B26:B28"/>
    <mergeCell ref="C26:C28"/>
    <mergeCell ref="D26:D28"/>
    <mergeCell ref="B23:B25"/>
    <mergeCell ref="C23:C25"/>
    <mergeCell ref="D38:D40"/>
    <mergeCell ref="B175:B177"/>
    <mergeCell ref="D103:D105"/>
    <mergeCell ref="B130:B131"/>
    <mergeCell ref="C130:C131"/>
    <mergeCell ref="D148:D149"/>
    <mergeCell ref="C148:C149"/>
    <mergeCell ref="B169:B171"/>
    <mergeCell ref="D122:D123"/>
    <mergeCell ref="B124:B125"/>
    <mergeCell ref="C124:C125"/>
    <mergeCell ref="D109:D111"/>
    <mergeCell ref="D106:D108"/>
    <mergeCell ref="B134:B135"/>
    <mergeCell ref="C134:C135"/>
    <mergeCell ref="D134:D135"/>
    <mergeCell ref="B163:B164"/>
    <mergeCell ref="B151:B153"/>
    <mergeCell ref="C151:C153"/>
    <mergeCell ref="D151:D153"/>
    <mergeCell ref="D112:D114"/>
    <mergeCell ref="B109:B111"/>
    <mergeCell ref="B112:B114"/>
    <mergeCell ref="C103:C105"/>
    <mergeCell ref="B160:B162"/>
    <mergeCell ref="D94:D96"/>
    <mergeCell ref="D97:D99"/>
    <mergeCell ref="D100:D102"/>
    <mergeCell ref="B75:B77"/>
    <mergeCell ref="B78:B80"/>
    <mergeCell ref="D48:D50"/>
    <mergeCell ref="D51:D53"/>
    <mergeCell ref="D54:D56"/>
    <mergeCell ref="D57:D59"/>
    <mergeCell ref="D60:D62"/>
    <mergeCell ref="D63:D65"/>
    <mergeCell ref="D66:D68"/>
    <mergeCell ref="D69:D71"/>
    <mergeCell ref="B72:B74"/>
    <mergeCell ref="C97:C99"/>
    <mergeCell ref="C100:C102"/>
    <mergeCell ref="D78:D80"/>
    <mergeCell ref="D81:D83"/>
    <mergeCell ref="C69:C71"/>
    <mergeCell ref="C72:C74"/>
    <mergeCell ref="C75:C77"/>
    <mergeCell ref="C78:C80"/>
    <mergeCell ref="C81:C83"/>
    <mergeCell ref="C48:C50"/>
    <mergeCell ref="C160:C162"/>
    <mergeCell ref="D160:D162"/>
    <mergeCell ref="D138:D139"/>
    <mergeCell ref="C140:C141"/>
    <mergeCell ref="B116:B117"/>
    <mergeCell ref="C116:C117"/>
    <mergeCell ref="D116:D117"/>
    <mergeCell ref="B118:B119"/>
    <mergeCell ref="C118:C119"/>
    <mergeCell ref="C122:C123"/>
    <mergeCell ref="A85:A114"/>
    <mergeCell ref="C85:C87"/>
    <mergeCell ref="C88:C90"/>
    <mergeCell ref="C91:C93"/>
    <mergeCell ref="C94:C96"/>
    <mergeCell ref="B157:B159"/>
    <mergeCell ref="C157:C159"/>
    <mergeCell ref="D157:D159"/>
    <mergeCell ref="B154:B156"/>
    <mergeCell ref="C154:C156"/>
    <mergeCell ref="D154:D156"/>
    <mergeCell ref="B88:B90"/>
    <mergeCell ref="B91:B93"/>
    <mergeCell ref="B94:B96"/>
    <mergeCell ref="B97:B99"/>
    <mergeCell ref="B100:B102"/>
    <mergeCell ref="B103:B105"/>
    <mergeCell ref="B106:B108"/>
    <mergeCell ref="D85:D87"/>
    <mergeCell ref="D88:D90"/>
    <mergeCell ref="D91:D93"/>
    <mergeCell ref="C106:C108"/>
    <mergeCell ref="C109:C111"/>
    <mergeCell ref="C112:C114"/>
    <mergeCell ref="A151:A180"/>
    <mergeCell ref="C215:C221"/>
    <mergeCell ref="C222:C228"/>
    <mergeCell ref="A116:A149"/>
    <mergeCell ref="D130:D131"/>
    <mergeCell ref="B126:B127"/>
    <mergeCell ref="C126:C127"/>
    <mergeCell ref="D126:D127"/>
    <mergeCell ref="B128:B129"/>
    <mergeCell ref="C128:C129"/>
    <mergeCell ref="D128:D129"/>
    <mergeCell ref="B132:B133"/>
    <mergeCell ref="C132:C133"/>
    <mergeCell ref="D132:D133"/>
    <mergeCell ref="D118:D119"/>
    <mergeCell ref="B120:B121"/>
    <mergeCell ref="C120:C121"/>
    <mergeCell ref="D120:D121"/>
    <mergeCell ref="B178:B180"/>
    <mergeCell ref="D124:D125"/>
    <mergeCell ref="B166:B168"/>
    <mergeCell ref="C166:C168"/>
    <mergeCell ref="D166:D168"/>
    <mergeCell ref="B122:B123"/>
    <mergeCell ref="F136:F137"/>
    <mergeCell ref="G136:G137"/>
    <mergeCell ref="F138:F139"/>
    <mergeCell ref="G138:G139"/>
    <mergeCell ref="B148:B149"/>
    <mergeCell ref="B138:B139"/>
    <mergeCell ref="B140:B141"/>
    <mergeCell ref="B142:B143"/>
    <mergeCell ref="B144:B145"/>
    <mergeCell ref="B146:B147"/>
    <mergeCell ref="C142:C143"/>
    <mergeCell ref="D142:D143"/>
    <mergeCell ref="C144:C145"/>
    <mergeCell ref="D144:D145"/>
    <mergeCell ref="C146:C147"/>
    <mergeCell ref="D146:D147"/>
    <mergeCell ref="C138:C139"/>
    <mergeCell ref="B136:B137"/>
    <mergeCell ref="C136:C137"/>
    <mergeCell ref="D136:D137"/>
    <mergeCell ref="D140:D141"/>
    <mergeCell ref="C163:C165"/>
    <mergeCell ref="D163:D165"/>
    <mergeCell ref="D169:D171"/>
    <mergeCell ref="D269:D276"/>
    <mergeCell ref="D277:D283"/>
    <mergeCell ref="C229:C235"/>
    <mergeCell ref="C182:C207"/>
    <mergeCell ref="E182:E183"/>
    <mergeCell ref="E184:E187"/>
    <mergeCell ref="E188:E189"/>
    <mergeCell ref="E190:E191"/>
    <mergeCell ref="E192:E194"/>
    <mergeCell ref="E195:E197"/>
    <mergeCell ref="E198:E202"/>
    <mergeCell ref="E203:E207"/>
    <mergeCell ref="C277:C283"/>
    <mergeCell ref="C241:C247"/>
    <mergeCell ref="C248:C260"/>
    <mergeCell ref="D172:D174"/>
    <mergeCell ref="D175:D177"/>
    <mergeCell ref="D178:D180"/>
    <mergeCell ref="C169:C171"/>
    <mergeCell ref="C172:C174"/>
    <mergeCell ref="C175:C177"/>
    <mergeCell ref="C178:C180"/>
    <mergeCell ref="F182:F183"/>
    <mergeCell ref="F188:F189"/>
    <mergeCell ref="F249:F250"/>
    <mergeCell ref="C236:C240"/>
    <mergeCell ref="D236:D240"/>
    <mergeCell ref="B182:B207"/>
    <mergeCell ref="D182:D207"/>
    <mergeCell ref="D215:D221"/>
    <mergeCell ref="B215:B221"/>
    <mergeCell ref="B222:B228"/>
    <mergeCell ref="D222:D228"/>
    <mergeCell ref="B229:B235"/>
    <mergeCell ref="D229:D235"/>
    <mergeCell ref="D241:D247"/>
    <mergeCell ref="B241:B247"/>
    <mergeCell ref="B236:B240"/>
    <mergeCell ref="C208:C214"/>
    <mergeCell ref="D208:D214"/>
    <mergeCell ref="B208:B214"/>
    <mergeCell ref="G248:G249"/>
    <mergeCell ref="B261:B268"/>
    <mergeCell ref="B269:B276"/>
    <mergeCell ref="B277:B283"/>
    <mergeCell ref="B284:B290"/>
    <mergeCell ref="B248:B260"/>
    <mergeCell ref="D248:D260"/>
    <mergeCell ref="D261:D268"/>
    <mergeCell ref="C284:C290"/>
    <mergeCell ref="C261:C268"/>
    <mergeCell ref="C269:C276"/>
    <mergeCell ref="D284:D290"/>
    <mergeCell ref="E249:E254"/>
    <mergeCell ref="B331:B333"/>
    <mergeCell ref="B328:B330"/>
    <mergeCell ref="B325:B327"/>
    <mergeCell ref="B322:B324"/>
    <mergeCell ref="B319:B321"/>
    <mergeCell ref="B316:B318"/>
    <mergeCell ref="B292:B294"/>
    <mergeCell ref="C292:C294"/>
    <mergeCell ref="C295:C297"/>
    <mergeCell ref="C298:C300"/>
    <mergeCell ref="C301:C303"/>
    <mergeCell ref="C304:C306"/>
    <mergeCell ref="C307:C309"/>
    <mergeCell ref="C310:C312"/>
    <mergeCell ref="C313:C315"/>
    <mergeCell ref="B313:B315"/>
    <mergeCell ref="B310:B312"/>
    <mergeCell ref="B307:B309"/>
    <mergeCell ref="B304:B306"/>
    <mergeCell ref="B301:B303"/>
    <mergeCell ref="B298:B300"/>
    <mergeCell ref="B295:B297"/>
    <mergeCell ref="A292:A336"/>
    <mergeCell ref="D292:D294"/>
    <mergeCell ref="D295:D297"/>
    <mergeCell ref="D298:D300"/>
    <mergeCell ref="D301:D303"/>
    <mergeCell ref="D304:D306"/>
    <mergeCell ref="D307:D309"/>
    <mergeCell ref="D310:D312"/>
    <mergeCell ref="D313:D315"/>
    <mergeCell ref="D316:D318"/>
    <mergeCell ref="D319:D321"/>
    <mergeCell ref="D322:D324"/>
    <mergeCell ref="D325:D327"/>
    <mergeCell ref="D328:D330"/>
    <mergeCell ref="D331:D333"/>
    <mergeCell ref="D334:D336"/>
    <mergeCell ref="C316:C318"/>
    <mergeCell ref="C319:C321"/>
    <mergeCell ref="C322:C324"/>
    <mergeCell ref="C325:C327"/>
    <mergeCell ref="C328:C330"/>
    <mergeCell ref="C331:C333"/>
    <mergeCell ref="C334:C336"/>
    <mergeCell ref="B334:B336"/>
  </mergeCells>
  <phoneticPr fontId="9" type="noConversion"/>
  <conditionalFormatting sqref="C182:D208 C209:C214 E209:E214 C222:E222 C229:E229 C241:E241">
    <cfRule type="containsBlanks" dxfId="2" priority="2">
      <formula>LEN(TRIM(C182))=0</formula>
    </cfRule>
  </conditionalFormatting>
  <conditionalFormatting sqref="D182:E182 E184 E188 E190 E195 D208:E208 C215:E215 C236:E236 C248:E248 C261:E261 C269:E269 C277:E277 C284:E284">
    <cfRule type="containsBlanks" dxfId="1" priority="3">
      <formula>LEN(TRIM(C182))=0</formula>
    </cfRule>
  </conditionalFormatting>
  <conditionalFormatting sqref="E192 E198 E203 E216:E221 E223:E228 E230:E240 E242:E247 E249 E255:E260 E262:E268 E270:E276 E278:E283 E285:E290">
    <cfRule type="containsBlanks" dxfId="0" priority="1">
      <formula>LEN(TRIM(E192))=0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2EF52-9396-4FB0-AA74-C6A9C347A6C9}">
  <dimension ref="A1:G12"/>
  <sheetViews>
    <sheetView topLeftCell="A2" workbookViewId="0">
      <selection activeCell="C7" sqref="C7"/>
    </sheetView>
  </sheetViews>
  <sheetFormatPr baseColWidth="10" defaultColWidth="8.6640625" defaultRowHeight="15" customHeight="1" x14ac:dyDescent="0.2"/>
  <cols>
    <col min="1" max="1" width="3.6640625" customWidth="1"/>
    <col min="2" max="2" width="23.6640625" bestFit="1" customWidth="1"/>
    <col min="3" max="6" width="28.5" style="1" customWidth="1"/>
    <col min="7" max="7" width="34.5" customWidth="1"/>
  </cols>
  <sheetData>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 spans="1:7" ht="20" x14ac:dyDescent="0.2">
      <c r="B2" s="584" t="s">
        <v>2021</v>
      </c>
      <c r="C2" s="584" t="s">
        <v>2022</v>
      </c>
      <c r="D2" s="584" t="s">
        <v>2023</v>
      </c>
      <c r="E2" s="584" t="s">
        <v>2024</v>
      </c>
      <c r="F2" s="584" t="s">
        <v>2025</v>
      </c>
      <c r="G2" s="584" t="s">
        <v>2026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 spans="1:7" ht="20" x14ac:dyDescent="0.2">
      <c r="B3" s="584" t="s">
        <v>2027</v>
      </c>
      <c r="C3" s="584" t="s">
        <v>880</v>
      </c>
      <c r="D3" s="584" t="s">
        <v>840</v>
      </c>
      <c r="E3" s="584" t="s">
        <v>868</v>
      </c>
      <c r="F3" s="584" t="s">
        <v>993</v>
      </c>
      <c r="G3" s="584" t="s">
        <v>2028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 spans="1:7" s="1" customFormat="1" ht="80" x14ac:dyDescent="0.2">
      <c r="B4" s="584" t="s">
        <v>2029</v>
      </c>
      <c r="C4" s="583" t="s">
        <v>2030</v>
      </c>
      <c r="D4" s="583" t="s">
        <v>2031</v>
      </c>
      <c r="E4" s="583" t="s">
        <v>2032</v>
      </c>
      <c r="F4" s="583" t="s">
        <v>2033</v>
      </c>
      <c r="G4" s="583" t="s">
        <v>2034</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 spans="1:7" ht="80" x14ac:dyDescent="0.2">
      <c r="B5" s="584" t="s">
        <v>1122</v>
      </c>
      <c r="C5" s="583" t="s">
        <v>2035</v>
      </c>
      <c r="D5" s="583" t="s">
        <v>2036</v>
      </c>
      <c r="E5" s="583" t="s">
        <v>2037</v>
      </c>
      <c r="F5" s="583" t="s">
        <v>2038</v>
      </c>
      <c r="G5" s="583" t="s">
        <v>2039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 spans="1:7" ht="100" x14ac:dyDescent="0.2">
      <c r="B6" s="584" t="s">
        <v>2040</v>
      </c>
      <c r="C6" s="583" t="s">
        <v>2041</v>
      </c>
      <c r="D6" s="583" t="s">
        <v>2042</v>
      </c>
      <c r="E6" s="583" t="s">
        <v>2043</v>
      </c>
      <c r="F6" s="583" t="s">
        <v>2044</v>
      </c>
      <c r="G6" s="583" t="s">
        <v>2045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 spans="1:7" ht="100" x14ac:dyDescent="0.2">
      <c r="B7" s="584" t="s">
        <v>2046</v>
      </c>
      <c r="C7" s="583" t="s">
        <v>2047</v>
      </c>
      <c r="D7" s="583" t="s">
        <v>2048</v>
      </c>
      <c r="E7" s="583" t="s">
        <v>2049</v>
      </c>
      <c r="F7" s="583" t="s">
        <v>2050</v>
      </c>
      <c r="G7" s="583" t="s">
        <v>2051</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8" spans="1:7" ht="80" x14ac:dyDescent="0.2">
      <c r="B8" s="584" t="s">
        <v>2052</v>
      </c>
      <c r="C8" s="583" t="s">
        <v>2053</v>
      </c>
      <c r="D8" s="583" t="s">
        <v>2054</v>
      </c>
      <c r="E8" s="583" t="s">
        <v>2055</v>
      </c>
      <c r="F8" s="583" t="s">
        <v>2056</v>
      </c>
      <c r="G8" s="583" t="s">
        <v>2057</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 spans="1:7" ht="100" x14ac:dyDescent="0.2">
      <c r="B9" s="584" t="s">
        <v>2058</v>
      </c>
      <c r="C9" s="583" t="s">
        <v>2059</v>
      </c>
      <c r="D9" s="583" t="s">
        <v>2060</v>
      </c>
      <c r="E9" s="583" t="s">
        <v>2061</v>
      </c>
      <c r="F9" s="583" t="s">
        <v>2062</v>
      </c>
      <c r="G9" s="583" t="s">
        <v>2063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 spans="1:7" ht="100" x14ac:dyDescent="0.2">
      <c r="B10" s="584" t="s">
        <v>2064</v>
      </c>
      <c r="C10" s="583" t="s">
        <v>2065</v>
      </c>
      <c r="D10" s="583" t="s">
        <v>2066</v>
      </c>
      <c r="E10" s="583" t="s">
        <v>2067</v>
      </c>
      <c r="F10" s="583" t="s">
        <v>2068</v>
      </c>
      <c r="G10" s="583" t="s">
        <v>2069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 spans="1:7" ht="80" x14ac:dyDescent="0.2">
      <c r="B11" s="584" t="s">
        <v>2070</v>
      </c>
      <c r="C11" s="583" t="s">
        <v>2071</v>
      </c>
      <c r="D11" s="583" t="s">
        <v>2072</v>
      </c>
      <c r="E11" s="583" t="s">
        <v>2073</v>
      </c>
      <c r="F11" s="583" t="s">
        <v>2074</v>
      </c>
      <c r="G11" s="583" t="s">
        <v>2075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 spans="1:7" ht="100" x14ac:dyDescent="0.2">
      <c r="B12" s="584" t="s">
        <v>2076</v>
      </c>
      <c r="C12" s="583" t="s">
        <v>2077</v>
      </c>
      <c r="D12" s="583" t="s">
        <v>2078</v>
      </c>
      <c r="E12" s="583" t="s">
        <v>2079</v>
      </c>
      <c r="F12" s="583" t="s">
        <v>2080</v>
      </c>
      <c r="G12" s="583" t="s">
        <v>2081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6C521-2B38-4C10-A7B9-134F42D16865}">
  <dimension ref="A1:F7"/>
  <sheetViews>
    <sheetView workbookViewId="0">
      <selection activeCell="B2" sqref="B2:F2"/>
    </sheetView>
  </sheetViews>
  <sheetFormatPr baseColWidth="10" defaultColWidth="8.6640625" defaultRowHeight="15" x14ac:dyDescent="0.2"/>
  <cols>
    <col min="1" max="1" width="2.5" customWidth="1"/>
    <col min="2" max="2" width="16.5" customWidth="1"/>
    <col min="3" max="3" width="65.33203125" style="1" customWidth="1"/>
    <col min="4" max="4" width="51.5" style="1" customWidth="1"/>
    <col min="5" max="5" width="21.33203125" customWidth="1"/>
    <col min="6" max="6" width="21.1640625" customWidth="1"/>
  </cols>
  <sheetData>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 spans="1:6" ht="17" x14ac:dyDescent="0.2">
      <c r="B2" s="434" t="s">
        <v>2082</v>
      </c>
      <c r="C2" s="435" t="s">
        <v>1784</v>
      </c>
      <c r="D2" s="435" t="s">
        <v>2083</v>
      </c>
      <c r="E2" s="434" t="s">
        <v>2084</v>
      </c>
      <c r="F2" s="434" t="s">
        <v>2085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 spans="1:6" ht="32" x14ac:dyDescent="0.2">
      <c r="B3" s="240" t="s">
        <v>880</v>
      </c>
      <c r="C3" s="238" t="s">
        <v>2086</v>
      </c>
      <c r="D3" s="239" t="s">
        <v>2087</v>
      </c>
      <c r="E3" s="240" t="s">
        <v>2088</v>
      </c>
      <c r="F3" s="242"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 spans="1:6" ht="32" x14ac:dyDescent="0.2">
      <c r="B4" s="240" t="s">
        <v>840</v>
      </c>
      <c r="C4" s="238" t="s">
        <v>2089</v>
      </c>
      <c r="D4" s="239" t="s">
        <v>2090</v>
      </c>
      <c r="E4" s="240" t="s">
        <v>2091</v>
      </c>
      <c r="F4" s="242"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 spans="1:6" ht="32" x14ac:dyDescent="0.2">
      <c r="B5" s="240" t="s">
        <v>868</v>
      </c>
      <c r="C5" s="238" t="s">
        <v>2092</v>
      </c>
      <c r="D5" s="239" t="s">
        <v>2093</v>
      </c>
      <c r="E5" s="240" t="s">
        <v>2094</v>
      </c>
      <c r="F5" s="242" t="s">
        <v>539</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 spans="1:6" ht="32" x14ac:dyDescent="0.2">
      <c r="B6" s="240" t="s">
        <v>993</v>
      </c>
      <c r="C6" s="238" t="s">
        <v>2095</v>
      </c>
      <c r="D6" s="239" t="s">
        <v>2096</v>
      </c>
      <c r="E6" s="240" t="s">
        <v>2097</v>
      </c>
      <c r="F6" s="241" t="s">
        <v>465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 spans="1:6" ht="32" x14ac:dyDescent="0.2">
      <c r="B7" s="240" t="s">
        <v>2028</v>
      </c>
      <c r="C7" s="238" t="s">
        <v>2098</v>
      </c>
      <c r="D7" s="239" t="s">
        <v>2099</v>
      </c>
      <c r="E7" s="240" t="s">
        <v>2100</v>
      </c>
      <c r="F7" s="241" t="s">
        <v>465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2CFFF-C8DD-4B32-8C66-D0CE57552603}">
  <dimension ref="A1:D14"/>
  <sheetViews>
    <sheetView workbookViewId="0">
      <selection activeCell="D19" sqref="D19"/>
    </sheetView>
  </sheetViews>
  <sheetFormatPr baseColWidth="10" defaultColWidth="8.83203125" defaultRowHeight="15" x14ac:dyDescent="0.2"/>
  <cols>
    <col min="2" max="2" width="20" customWidth="1"/>
    <col min="3" max="3" width="30" customWidth="1"/>
    <col min="4" max="4" width="45.5" customWidth="1"/>
  </cols>
  <sheetData>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2" spans="1:4" ht="17" x14ac:dyDescent="0.2">
      <c r="B2" s="553" t="s">
        <v>2101</v>
      </c>
      <c r="C2" s="554" t="s">
        <v>2102</v>
      </c>
      <c r="D2" s="578" t="s">
        <v>2103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3" spans="1:4" ht="17" x14ac:dyDescent="0.2">
      <c r="B3" s="555" t="s">
        <v>839</v>
      </c>
      <c r="C3" s="556">
        <v>0.9</v>
      </c>
      <c r="D3" s="579" t="s">
        <v>2104</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4" spans="1:4" ht="16" x14ac:dyDescent="0.2">
      <c r="B4" s="557" t="s">
        <v>840</v>
      </c>
      <c r="C4" s="558">
        <v>0.7</v>
      </c>
      <c r="D4" s="557" t="s">
        <v>2105</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5" spans="1:4" ht="16" x14ac:dyDescent="0.2">
      <c r="B5" s="559" t="s">
        <v>859</v>
      </c>
      <c r="C5" s="560">
        <v>0.5</v>
      </c>
      <c r="D5" s="559" t="s">
        <v>2106</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6" spans="1:4" ht="16" x14ac:dyDescent="0.2">
      <c r="B6" s="561" t="s">
        <v>993</v>
      </c>
      <c r="C6" s="562">
        <v>0.3</v>
      </c>
      <c r="D6" s="561" t="s">
        <v>2107</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7" spans="1:4" ht="16" x14ac:dyDescent="0.2">
      <c r="B7" s="563" t="s">
        <v>2028</v>
      </c>
      <c r="C7" s="564">
        <v>0.05</v>
      </c>
      <c r="D7" s="563" t="s">
        <v>2108</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9" spans="1:4" ht="16" x14ac:dyDescent="0.2">
      <c r="B9" s="553" t="s">
        <v>829</v>
      </c>
      <c r="C9" s="565" t="s">
        <v>2109</v>
      </c>
      <c r="D9" s="553" t="s">
        <v>2110</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0" spans="1:4" ht="16" x14ac:dyDescent="0.2">
      <c r="B10" s="555" t="s">
        <v>858</v>
      </c>
      <c r="C10" s="566">
        <v>0.8</v>
      </c>
      <c r="D10" s="555" t="s">
        <v>2111</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1" spans="1:4" ht="16" x14ac:dyDescent="0.2">
      <c r="B11" s="557" t="s">
        <v>850</v>
      </c>
      <c r="C11" s="567">
        <v>0.75</v>
      </c>
      <c r="D11" s="557" t="s">
        <v>2112</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2" spans="1:4" ht="16" x14ac:dyDescent="0.2">
      <c r="B12" s="559" t="s">
        <v>838</v>
      </c>
      <c r="C12" s="568">
        <v>0.5</v>
      </c>
      <c r="D12" s="559" t="s">
        <v>2113</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3" spans="1:4" ht="16" x14ac:dyDescent="0.2">
      <c r="B13" s="561" t="s">
        <v>1025</v>
      </c>
      <c r="C13" s="569">
        <v>0.25</v>
      </c>
      <c r="D13" s="561" t="s">
        <v>2114</v>
      </c>
    </row>
    <row xmlns="http://schemas.openxmlformats.org/spreadsheetml/2006/main" xmlns:x14ac="http://schemas.microsoft.com/office/spreadsheetml/2009/9/ac" xmlns:r="http://schemas.openxmlformats.org/officeDocument/2006/relationships" xmlns:mc="http://schemas.openxmlformats.org/markup-compatibility/2006" xmlns:xr="http://schemas.microsoft.com/office/spreadsheetml/2014/revision" xmlns:xr2="http://schemas.microsoft.com/office/spreadsheetml/2015/revision2" xmlns:xr3="http://schemas.microsoft.com/office/spreadsheetml/2016/revision3" r="14" spans="1:4" ht="16" x14ac:dyDescent="0.2">
      <c r="B14" s="563" t="s">
        <v>1233</v>
      </c>
      <c r="C14" s="570">
        <v>0.1</v>
      </c>
      <c r="D14" s="563" t="s">
        <v>2115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BPs &amp; Information Assets</vt:lpstr>
      <vt:lpstr>Threats</vt:lpstr>
      <vt:lpstr>Loss Calculation</vt:lpstr>
      <vt:lpstr>TRA</vt:lpstr>
      <vt:lpstr>Risk Response</vt:lpstr>
      <vt:lpstr>Controls</vt:lpstr>
      <vt:lpstr>Consequence Table</vt:lpstr>
      <vt:lpstr>WWMD</vt:lpstr>
      <vt:lpstr>Metrics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Tan</dc:creator>
  <cp:keywords/>
  <dc:description/>
  <cp:lastModifiedBy>Aaron James Flores</cp:lastModifiedBy>
  <cp:revision/>
  <dcterms:created xsi:type="dcterms:W3CDTF">2015-06-05T18:17:20Z</dcterms:created>
  <dcterms:modified xsi:type="dcterms:W3CDTF">2024-10-27T08:56:13Z</dcterms:modified>
  <cp:category/>
  <cp:contentStatus/>
</cp:coreProperties>
</file>